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IVF\AI\IVF Digital Twin Pro\Clinic install\Calibration\"/>
    </mc:Choice>
  </mc:AlternateContent>
  <xr:revisionPtr revIDLastSave="0" documentId="13_ncr:1_{77131B56-3C49-4DFC-AD5D-8E3DFB7833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Данные" sheetId="1" r:id="rId1"/>
    <sheet name="Data (English)" sheetId="2" r:id="rId2"/>
    <sheet name="Инструкци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3" l="1"/>
  <c r="C52" i="3"/>
  <c r="C55" i="3"/>
  <c r="C54" i="3"/>
  <c r="C53" i="3"/>
</calcChain>
</file>

<file path=xl/sharedStrings.xml><?xml version="1.0" encoding="utf-8"?>
<sst xmlns="http://schemas.openxmlformats.org/spreadsheetml/2006/main" count="409" uniqueCount="284">
  <si>
    <t>cycle_id</t>
  </si>
  <si>
    <t>patient_id</t>
  </si>
  <si>
    <t>age</t>
  </si>
  <si>
    <t>amh</t>
  </si>
  <si>
    <t>afc</t>
  </si>
  <si>
    <t>bmi</t>
  </si>
  <si>
    <t>attempt_number</t>
  </si>
  <si>
    <t>sperm_source</t>
  </si>
  <si>
    <t>diagnosis</t>
  </si>
  <si>
    <t>protocol_type</t>
  </si>
  <si>
    <t>fsh_start_iu</t>
  </si>
  <si>
    <t>rlh_used</t>
  </si>
  <si>
    <t>rlh_dose_iu</t>
  </si>
  <si>
    <t>stim_days</t>
  </si>
  <si>
    <t>follicles_14mm</t>
  </si>
  <si>
    <t>e2_trigger_pmol</t>
  </si>
  <si>
    <t>okk</t>
  </si>
  <si>
    <t>mii</t>
  </si>
  <si>
    <t>pn2</t>
  </si>
  <si>
    <t>cleavage_d3</t>
  </si>
  <si>
    <t>blasts_total</t>
  </si>
  <si>
    <t>blasts_good</t>
  </si>
  <si>
    <t>emb_frozen</t>
  </si>
  <si>
    <t>emb_transferred</t>
  </si>
  <si>
    <t>euploid</t>
  </si>
  <si>
    <t>ohss_grade</t>
  </si>
  <si>
    <t>cycle_cancelled</t>
  </si>
  <si>
    <t>outcome</t>
  </si>
  <si>
    <t>outcome_date</t>
  </si>
  <si>
    <t>outcome_known</t>
  </si>
  <si>
    <t>Идентификация</t>
  </si>
  <si>
    <t>Демография и показатели</t>
  </si>
  <si>
    <t>Протокол стимуляции</t>
  </si>
  <si>
    <t>Лабораторные результаты</t>
  </si>
  <si>
    <t>Исход цикла</t>
  </si>
  <si>
    <t>ID цикла</t>
  </si>
  <si>
    <t>ID пациентки</t>
  </si>
  <si>
    <t>Возраст, лет</t>
  </si>
  <si>
    <t>АМГ, нг/мл</t>
  </si>
  <si>
    <t>АФЧ (оба яичника)</t>
  </si>
  <si>
    <t>ИМТ, кг/м²</t>
  </si>
  <si>
    <t>№ попытки ЭКО</t>
  </si>
  <si>
    <t>Источник спермы</t>
  </si>
  <si>
    <t>Диагноз</t>
  </si>
  <si>
    <t>Протокол</t>
  </si>
  <si>
    <t>Доза ФСГ, МЕ/сут</t>
  </si>
  <si>
    <t>рЛГ добавлен</t>
  </si>
  <si>
    <t>Доза рЛГ, МЕ/сут</t>
  </si>
  <si>
    <t>Дней стимуляции</t>
  </si>
  <si>
    <t>Фолликулов ≥14мм</t>
  </si>
  <si>
    <t>E2 триггер, пмоль/л</t>
  </si>
  <si>
    <t>ОКК получено</t>
  </si>
  <si>
    <t>MII зрелых</t>
  </si>
  <si>
    <t>2PN оплодотворено</t>
  </si>
  <si>
    <t>Дробящихся (д3)</t>
  </si>
  <si>
    <t>Бластоцист всего</t>
  </si>
  <si>
    <t>Бластоцист хор.кач.</t>
  </si>
  <si>
    <t>Заморожено</t>
  </si>
  <si>
    <t>Перенесено</t>
  </si>
  <si>
    <t>Эуплоидных (ПГТ-А)</t>
  </si>
  <si>
    <t>СГЯ степень</t>
  </si>
  <si>
    <t>Цикл отменён</t>
  </si>
  <si>
    <t>Исход</t>
  </si>
  <si>
    <t>Дата исхода</t>
  </si>
  <si>
    <t>Исход известен</t>
  </si>
  <si>
    <t>Номер из МИС. Без ФИО!</t>
  </si>
  <si>
    <t>Анонимный код. Без ФИО!</t>
  </si>
  <si>
    <t>18–55</t>
  </si>
  <si>
    <t>НЕ пмоль/л. Если пмоль/л → ÷7.14</t>
  </si>
  <si>
    <t>Суммарный антральный счёт</t>
  </si>
  <si>
    <t>15–55</t>
  </si>
  <si>
    <t>Первая = 1</t>
  </si>
  <si>
    <t>partner / donor / surgical</t>
  </si>
  <si>
    <t>normal/PCOS/DOR/MFI/unexplained/other</t>
  </si>
  <si>
    <t>long_agonist/short_agonist/antagonist/mini</t>
  </si>
  <si>
    <t>50–900</t>
  </si>
  <si>
    <t>1=да, 0=нет</t>
  </si>
  <si>
    <t>0 если не применялся</t>
  </si>
  <si>
    <t>3–28</t>
  </si>
  <si>
    <t>В день триггера</t>
  </si>
  <si>
    <t>Если пг/мл → ×3.671</t>
  </si>
  <si>
    <t>Ооцитов при пункции</t>
  </si>
  <si>
    <t>Метафаза II</t>
  </si>
  <si>
    <t>На день 1</t>
  </si>
  <si>
    <t>День 3. Если нет — пусто</t>
  </si>
  <si>
    <t>День 5–6</t>
  </si>
  <si>
    <t>3BB+ или эквивалент</t>
  </si>
  <si>
    <t>В данном цикле</t>
  </si>
  <si>
    <t>В данном цикле (0=сегм.)</t>
  </si>
  <si>
    <t>Пусто если ПГТ нет</t>
  </si>
  <si>
    <t>0=нет,1=лёгкий,2=ум,3=тяж</t>
  </si>
  <si>
    <t>1=да,0=нет</t>
  </si>
  <si>
    <t>no_transfer/biochemical/clinical/ongoing/delivery/miscarriage/unknown</t>
  </si>
  <si>
    <t>ГГГГ-ММ-ДД</t>
  </si>
  <si>
    <t>CL-2023-001</t>
  </si>
  <si>
    <t>PAT-042</t>
  </si>
  <si>
    <t>2.1</t>
  </si>
  <si>
    <t>23.5</t>
  </si>
  <si>
    <t>partner</t>
  </si>
  <si>
    <t>normal</t>
  </si>
  <si>
    <t>antagonist</t>
  </si>
  <si>
    <t>clinical</t>
  </si>
  <si>
    <t>2023-11-15</t>
  </si>
  <si>
    <t>📘 Синий = обязательное поле   |   Серый = желательное   |   Зелёный = исход</t>
  </si>
  <si>
    <t>Identification</t>
  </si>
  <si>
    <t>Demographics &amp; Baseline</t>
  </si>
  <si>
    <t>Stimulation Protocol</t>
  </si>
  <si>
    <t>Laboratory Results</t>
  </si>
  <si>
    <t>Cycle Outcome</t>
  </si>
  <si>
    <t>Cycle ID</t>
  </si>
  <si>
    <t>Patient ID</t>
  </si>
  <si>
    <t>Age (years)</t>
  </si>
  <si>
    <t>AMH (ng/mL)</t>
  </si>
  <si>
    <t>AFC (both ovaries)</t>
  </si>
  <si>
    <t>BMI (kg/m²)</t>
  </si>
  <si>
    <t>IVF attempt #</t>
  </si>
  <si>
    <t>Sperm source</t>
  </si>
  <si>
    <t>Diagnosis</t>
  </si>
  <si>
    <t>Protocol</t>
  </si>
  <si>
    <t>FSH start dose (IU/day)</t>
  </si>
  <si>
    <t>rLH added</t>
  </si>
  <si>
    <t>rLH dose (IU/day)</t>
  </si>
  <si>
    <t>Stimulation days</t>
  </si>
  <si>
    <t>Follicles ≥14mm</t>
  </si>
  <si>
    <t>E2 at trigger (pmol/L)</t>
  </si>
  <si>
    <t>OCC retrieved</t>
  </si>
  <si>
    <t>MII (mature)</t>
  </si>
  <si>
    <t>2PN (fertilized)</t>
  </si>
  <si>
    <t>Cleaving (d3)</t>
  </si>
  <si>
    <t>Blastocysts (total)</t>
  </si>
  <si>
    <t>Good blastocysts</t>
  </si>
  <si>
    <t>Frozen embryos</t>
  </si>
  <si>
    <t>Transferred</t>
  </si>
  <si>
    <t>Euploid (PGT-A)</t>
  </si>
  <si>
    <t>OHSS grade</t>
  </si>
  <si>
    <t>Cycle cancelled</t>
  </si>
  <si>
    <t>Outcome</t>
  </si>
  <si>
    <t>Outcome date</t>
  </si>
  <si>
    <t>Outcome known</t>
  </si>
  <si>
    <t>Unique ID from HIS. No patient name!</t>
  </si>
  <si>
    <t>Anonymous code only. No name!</t>
  </si>
  <si>
    <t>NOT pmol/L. If pmol/L → ÷7.14</t>
  </si>
  <si>
    <t>Total antral follicle count</t>
  </si>
  <si>
    <t>First attempt = 1</t>
  </si>
  <si>
    <t>1=yes, 0=no</t>
  </si>
  <si>
    <t>0 if not used</t>
  </si>
  <si>
    <t>On trigger day</t>
  </si>
  <si>
    <t>If pg/mL → ×3.671</t>
  </si>
  <si>
    <t>Oocytes collected</t>
  </si>
  <si>
    <t>Metaphase II</t>
  </si>
  <si>
    <t>Day 1</t>
  </si>
  <si>
    <t>Day 3. Leave empty if unavailable</t>
  </si>
  <si>
    <t>Day 5–6</t>
  </si>
  <si>
    <t>3BB+ or equivalent</t>
  </si>
  <si>
    <t>This cycle</t>
  </si>
  <si>
    <t>This cycle (0=freeze-all)</t>
  </si>
  <si>
    <t>Leave empty if no PGT-A</t>
  </si>
  <si>
    <t>0=none,1=mild,2=moderate,3=severe</t>
  </si>
  <si>
    <t>1=yes,0=no</t>
  </si>
  <si>
    <t>YYYY-MM-DD</t>
  </si>
  <si>
    <t>📘 Blue = required field   |   Grey = optional   |   Green = outcome</t>
  </si>
  <si>
    <t>Инструкция по заполнению шаблона  IVF Digital Twin  v2.0</t>
  </si>
  <si>
    <t xml:space="preserve">  ⚠  AMH в нг/мл (не пмоль/л).  E2 в пмоль/л (не пг/мл).  ФИО не указывать!  Минимум 200–300 циклов с известным исходом.</t>
  </si>
  <si>
    <t xml:space="preserve">  ⚠  AMH in ng/mL (not pmol/L).  E2 in pmol/L (not pg/mL).  No patient names!  Min 200–300 cycles with known outcome.</t>
  </si>
  <si>
    <t>Поле/Field</t>
  </si>
  <si>
    <t>Тип</t>
  </si>
  <si>
    <t>Описание (RU)</t>
  </si>
  <si>
    <t>Description (EN)</t>
  </si>
  <si>
    <t>Допустимые значения</t>
  </si>
  <si>
    <t xml:space="preserve">  Идентификация  /  Identification</t>
  </si>
  <si>
    <t>Обяз.</t>
  </si>
  <si>
    <t>Уникальный номер цикла из МИС</t>
  </si>
  <si>
    <t>Unique cycle ID from HIS</t>
  </si>
  <si>
    <t>любая строка / any string</t>
  </si>
  <si>
    <t>Анонимный ID пациентки. Никаких ФИО!</t>
  </si>
  <si>
    <t>Anonymous patient code. No names!</t>
  </si>
  <si>
    <t xml:space="preserve">  Демография и базовые показатели  /  Demographics &amp; Baseline</t>
  </si>
  <si>
    <t>Возраст пациентки в полных годах</t>
  </si>
  <si>
    <t>Patient age in full years</t>
  </si>
  <si>
    <t>АМГ в нг/мл. Конверсия: пмоль/л ÷ 7.14</t>
  </si>
  <si>
    <t>AMH in ng/mL. Convert: pmol/L ÷ 7.14</t>
  </si>
  <si>
    <t>0.01–30</t>
  </si>
  <si>
    <t>Суммарный АФЧ (оба яичника)</t>
  </si>
  <si>
    <t>Total AFC (both ovaries)</t>
  </si>
  <si>
    <t>0–70</t>
  </si>
  <si>
    <t>ИМТ в кг/м²</t>
  </si>
  <si>
    <t>BMI in kg/m²</t>
  </si>
  <si>
    <t>Порядковый номер попытки ЭКО</t>
  </si>
  <si>
    <t>IVF attempt number</t>
  </si>
  <si>
    <t>1–15</t>
  </si>
  <si>
    <t>Желат.</t>
  </si>
  <si>
    <t>Основной диагноз</t>
  </si>
  <si>
    <t>Primary diagnosis</t>
  </si>
  <si>
    <t xml:space="preserve">  Протокол стимуляции  /  Stimulation Protocol</t>
  </si>
  <si>
    <t>Тип протокола</t>
  </si>
  <si>
    <t>Protocol type</t>
  </si>
  <si>
    <t>long_agonist/short_agonist/antagonist/mini/other</t>
  </si>
  <si>
    <t>Стартовая доза ФСГ МЕ/сут</t>
  </si>
  <si>
    <t>FSH starting dose IU/day</t>
  </si>
  <si>
    <t>Добавлен рекомбинантный ЛГ</t>
  </si>
  <si>
    <t>Recombinant LH added</t>
  </si>
  <si>
    <t>0 / 1</t>
  </si>
  <si>
    <t>Доза рЛГ МЕ/сут. 0 если нет</t>
  </si>
  <si>
    <t>rLH dose IU/day. 0 if not used</t>
  </si>
  <si>
    <t>0–450</t>
  </si>
  <si>
    <t>Длительность стимуляции, дней</t>
  </si>
  <si>
    <t>Stimulation duration, days</t>
  </si>
  <si>
    <t>Фолликулов ≥14мм в день триггера</t>
  </si>
  <si>
    <t>Follicles ≥14mm on trigger day</t>
  </si>
  <si>
    <t>0–55</t>
  </si>
  <si>
    <t>E2 в пмоль/л (день триггера). Конверсия: пг/мл × 3.671</t>
  </si>
  <si>
    <t>E2 in pmol/L (trigger day). Convert: pg/mL × 3.671</t>
  </si>
  <si>
    <t>100–90000</t>
  </si>
  <si>
    <t xml:space="preserve">  Лабораторные результаты  /  Laboratory Results</t>
  </si>
  <si>
    <t>КОК/ОКК — получено ооцитов</t>
  </si>
  <si>
    <t>OCC — oocytes collected</t>
  </si>
  <si>
    <t>0–65</t>
  </si>
  <si>
    <t>MII — зрелых ооцитов</t>
  </si>
  <si>
    <t>MII — mature oocytes</t>
  </si>
  <si>
    <t>2PN — оплодотворённых (день 1)</t>
  </si>
  <si>
    <t>2PN — fertilized (day 1)</t>
  </si>
  <si>
    <t>Дробящихся эмбрионов день 3</t>
  </si>
  <si>
    <t>Cleaving embryos day 3</t>
  </si>
  <si>
    <t>Бластоцист всего (день 5–6)</t>
  </si>
  <si>
    <t>Total blastocysts (day 5–6)</t>
  </si>
  <si>
    <t>0–45</t>
  </si>
  <si>
    <t>Бластоцист хорошего качества (3BB+)</t>
  </si>
  <si>
    <t>Good quality blastocysts (3BB+)</t>
  </si>
  <si>
    <t>Заморожено эмбрионов</t>
  </si>
  <si>
    <t>Embryos frozen</t>
  </si>
  <si>
    <t>Перенесено (0 = freeze-all)</t>
  </si>
  <si>
    <t>Transferred (0 = freeze-all)</t>
  </si>
  <si>
    <t>0–8</t>
  </si>
  <si>
    <t>Эуплоидных (ПГТ-А). Пусто если нет ПГТ</t>
  </si>
  <si>
    <t>Euploid (PGT-A). Empty if no PGT</t>
  </si>
  <si>
    <t>0–40</t>
  </si>
  <si>
    <t>Степень СГЯ</t>
  </si>
  <si>
    <t>0/1/2/3</t>
  </si>
  <si>
    <t>Цикл отменён до пункции</t>
  </si>
  <si>
    <t>Cycle cancelled before retrieval</t>
  </si>
  <si>
    <t>0/1</t>
  </si>
  <si>
    <t xml:space="preserve">  Исход цикла  /  Cycle Outcome</t>
  </si>
  <si>
    <t>Исход цикла/переноса</t>
  </si>
  <si>
    <t>Cycle / transfer outcome</t>
  </si>
  <si>
    <t>no_transfer / biochemical / clinical / ongoing / delivery / miscarriage / unknown</t>
  </si>
  <si>
    <t>Дата подтверждения (ГГГГ-ММ-ДД)</t>
  </si>
  <si>
    <t>Confirmation date (YYYY-MM-DD)</t>
  </si>
  <si>
    <t>1=исход известен, 0=неизвестен</t>
  </si>
  <si>
    <t>1=outcome known, 0=unknown</t>
  </si>
  <si>
    <t xml:space="preserve">  Расшифровка кодов outcome / Outcome codes  /  </t>
  </si>
  <si>
    <t>no_transfer</t>
  </si>
  <si>
    <t>Переноса не было (freeze-all или нет эмбрионов)</t>
  </si>
  <si>
    <t>No transfer (freeze-all or no embryos)</t>
  </si>
  <si>
    <t>biochemical</t>
  </si>
  <si>
    <t>ХГЧ+ но нет сердцебиения</t>
  </si>
  <si>
    <t>hCG positive but no heartbeat</t>
  </si>
  <si>
    <t>Клиническая беременность (сердцебиение)</t>
  </si>
  <si>
    <t>Clinical pregnancy (heartbeat confirmed)</t>
  </si>
  <si>
    <t>ongoing</t>
  </si>
  <si>
    <t>Продолжающаяся беременность ≥12 нед</t>
  </si>
  <si>
    <t>Ongoing pregnancy ≥12 weeks</t>
  </si>
  <si>
    <t>delivery</t>
  </si>
  <si>
    <t>Роды</t>
  </si>
  <si>
    <t>Live birth / delivery</t>
  </si>
  <si>
    <t>miscarriage</t>
  </si>
  <si>
    <t>Выкидыш после клинической беременности</t>
  </si>
  <si>
    <t>Miscarriage after clinical pregnancy</t>
  </si>
  <si>
    <t>unknown</t>
  </si>
  <si>
    <t>Исход неизвестен / пациентка выбыла</t>
  </si>
  <si>
    <t>Outcome unknown / patient lost to follow-up</t>
  </si>
  <si>
    <t xml:space="preserve">  Производные переменные — вычисляются автоматически / Derived features — computed automatically  /  </t>
  </si>
  <si>
    <t>fert_rate</t>
  </si>
  <si>
    <t>Частота оплодотворения / Fertilization rate</t>
  </si>
  <si>
    <t>cleav_rate</t>
  </si>
  <si>
    <t>Частота дробления / Cleavage rate</t>
  </si>
  <si>
    <t>blast_rate</t>
  </si>
  <si>
    <t>Частота бластуляции / Blastulation rate</t>
  </si>
  <si>
    <t>good_blast_rate</t>
  </si>
  <si>
    <t>Частота хор. бластоцист / Good blast rate</t>
  </si>
  <si>
    <t>occ_rate</t>
  </si>
  <si>
    <t>Частота получения ООК / OCC rate</t>
  </si>
  <si>
    <t>KPIScore</t>
  </si>
  <si>
    <t>f(age, follicles, mii, fert_rate, blasts_good)</t>
  </si>
  <si>
    <t>5–25; вычисляется в коде / computed 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</si>
</sst>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i/>
      <sz val="8"/>
      <color rgb="FF595959"/>
      <name val="Arial"/>
    </font>
    <font>
      <i/>
      <sz val="10"/>
      <color rgb="FF595959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12"/>
      <color rgb="FFFFFFFF"/>
      <name val="Arial"/>
    </font>
    <font>
      <i/>
      <sz val="9"/>
      <color rgb="FF7F0000"/>
      <name val="Arial"/>
    </font>
    <font>
      <b/>
      <sz val="9"/>
      <color rgb="FF000000"/>
      <name val="Arial"/>
    </font>
    <font>
      <sz val="9"/>
      <color rgb="FF1F4E79"/>
      <name val="Arial"/>
    </font>
    <font>
      <sz val="9"/>
      <color rgb="FF000000"/>
      <name val="Arial"/>
    </font>
    <font>
      <sz val="9"/>
      <color rgb="FF2E75B6"/>
      <name val="Arial"/>
    </font>
    <font>
      <sz val="9"/>
      <color rgb="FF375623"/>
      <name val="Arial"/>
    </font>
    <font>
      <b/>
      <sz val="9"/>
      <color rgb="FF375623"/>
      <name val="Arial"/>
    </font>
    <font>
      <i/>
      <sz val="9"/>
      <color rgb="FF000000"/>
      <name val="Arial"/>
    </font>
    <font>
      <b/>
      <sz val="9"/>
      <color rgb="FF1F4E79"/>
      <name val="Arial"/>
    </font>
  </fonts>
  <fills count="1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2F5496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375623"/>
      </patternFill>
    </fill>
    <fill>
      <patternFill patternType="solid">
        <fgColor rgb="FFF7F7F7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C6D9F0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7" fillId="0" borderId="0" xfId="0" applyFont="1"/>
    <xf numFmtId="0" fontId="0" fillId="0" borderId="0" xfId="0"/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0" fillId="0" borderId="2" xfId="0" applyBorder="1"/>
    <xf numFmtId="0" fontId="12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16" fillId="11" borderId="1" xfId="0" applyFont="1" applyFill="1" applyBorder="1" applyAlignment="1">
      <alignment horizontal="left" vertical="center" wrapText="1"/>
    </xf>
    <xf numFmtId="0" fontId="9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7"/>
  <sheetViews>
    <sheetView showGridLines="0" tabSelected="1" workbookViewId="0">
      <pane ySplit="5" topLeftCell="A6" activePane="bottomLeft" state="frozen"/>
      <selection pane="bottomLeft" activeCell="D7" sqref="D7"/>
    </sheetView>
  </sheetViews>
  <sheetFormatPr defaultRowHeight="14.5" x14ac:dyDescent="0.35"/>
  <cols>
    <col min="1" max="2" width="13" customWidth="1"/>
    <col min="3" max="3" width="8" customWidth="1"/>
    <col min="4" max="4" width="9" customWidth="1"/>
    <col min="5" max="6" width="8" customWidth="1"/>
    <col min="7" max="7" width="10" customWidth="1"/>
    <col min="8" max="9" width="13" customWidth="1"/>
    <col min="10" max="10" width="16" customWidth="1"/>
    <col min="11" max="11" width="13" customWidth="1"/>
    <col min="12" max="12" width="9" customWidth="1"/>
    <col min="13" max="13" width="12" customWidth="1"/>
    <col min="14" max="14" width="10" customWidth="1"/>
    <col min="15" max="15" width="14" customWidth="1"/>
    <col min="16" max="16" width="16" customWidth="1"/>
    <col min="17" max="19" width="8" customWidth="1"/>
    <col min="20" max="20" width="12" customWidth="1"/>
    <col min="21" max="21" width="13" customWidth="1"/>
    <col min="22" max="22" width="14" customWidth="1"/>
    <col min="23" max="24" width="11" customWidth="1"/>
    <col min="25" max="25" width="13" customWidth="1"/>
    <col min="26" max="26" width="9" customWidth="1"/>
    <col min="27" max="27" width="12" customWidth="1"/>
    <col min="28" max="28" width="16.7265625" customWidth="1"/>
    <col min="29" max="30" width="13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0" customHeight="1" x14ac:dyDescent="0.35">
      <c r="A2" s="27" t="s">
        <v>30</v>
      </c>
      <c r="B2" s="25"/>
      <c r="C2" s="28" t="s">
        <v>31</v>
      </c>
      <c r="D2" s="25"/>
      <c r="E2" s="25"/>
      <c r="F2" s="25"/>
      <c r="G2" s="25"/>
      <c r="H2" s="25"/>
      <c r="I2" s="30" t="s">
        <v>32</v>
      </c>
      <c r="J2" s="25"/>
      <c r="K2" s="25"/>
      <c r="L2" s="25"/>
      <c r="M2" s="25"/>
      <c r="N2" s="25"/>
      <c r="O2" s="25"/>
      <c r="P2" s="25"/>
      <c r="Q2" s="29" t="s">
        <v>33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6" t="s">
        <v>34</v>
      </c>
      <c r="AC2" s="25"/>
      <c r="AD2" s="25"/>
    </row>
    <row r="3" spans="1:30" ht="38" customHeight="1" x14ac:dyDescent="0.3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3" t="s">
        <v>43</v>
      </c>
      <c r="J3" s="3" t="s">
        <v>44</v>
      </c>
      <c r="K3" s="3" t="s">
        <v>45</v>
      </c>
      <c r="L3" s="3" t="s">
        <v>46</v>
      </c>
      <c r="M3" s="3" t="s">
        <v>47</v>
      </c>
      <c r="N3" s="3" t="s">
        <v>48</v>
      </c>
      <c r="O3" s="2" t="s">
        <v>49</v>
      </c>
      <c r="P3" s="3" t="s">
        <v>50</v>
      </c>
      <c r="Q3" s="2" t="s">
        <v>51</v>
      </c>
      <c r="R3" s="2" t="s">
        <v>52</v>
      </c>
      <c r="S3" s="2" t="s">
        <v>53</v>
      </c>
      <c r="T3" s="3" t="s">
        <v>54</v>
      </c>
      <c r="U3" s="2" t="s">
        <v>55</v>
      </c>
      <c r="V3" s="2" t="s">
        <v>56</v>
      </c>
      <c r="W3" s="3" t="s">
        <v>57</v>
      </c>
      <c r="X3" s="3" t="s">
        <v>58</v>
      </c>
      <c r="Y3" s="3" t="s">
        <v>59</v>
      </c>
      <c r="Z3" s="3" t="s">
        <v>60</v>
      </c>
      <c r="AA3" s="3" t="s">
        <v>61</v>
      </c>
      <c r="AB3" s="4" t="s">
        <v>62</v>
      </c>
      <c r="AC3" s="4" t="s">
        <v>63</v>
      </c>
      <c r="AD3" s="4" t="s">
        <v>64</v>
      </c>
    </row>
    <row r="4" spans="1:30" ht="56.5" customHeight="1" x14ac:dyDescent="0.35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  <c r="O4" s="5" t="s">
        <v>79</v>
      </c>
      <c r="P4" s="5" t="s">
        <v>80</v>
      </c>
      <c r="Q4" s="5" t="s">
        <v>81</v>
      </c>
      <c r="R4" s="5" t="s">
        <v>82</v>
      </c>
      <c r="S4" s="5" t="s">
        <v>83</v>
      </c>
      <c r="T4" s="5" t="s">
        <v>84</v>
      </c>
      <c r="U4" s="5" t="s">
        <v>85</v>
      </c>
      <c r="V4" s="5" t="s">
        <v>86</v>
      </c>
      <c r="W4" s="5" t="s">
        <v>87</v>
      </c>
      <c r="X4" s="5" t="s">
        <v>88</v>
      </c>
      <c r="Y4" s="5" t="s">
        <v>89</v>
      </c>
      <c r="Z4" s="5" t="s">
        <v>90</v>
      </c>
      <c r="AA4" s="5" t="s">
        <v>91</v>
      </c>
      <c r="AB4" s="5" t="s">
        <v>92</v>
      </c>
      <c r="AC4" s="5" t="s">
        <v>93</v>
      </c>
      <c r="AD4" s="5" t="s">
        <v>76</v>
      </c>
    </row>
    <row r="5" spans="1:30" ht="18" customHeight="1" x14ac:dyDescent="0.35">
      <c r="A5" s="6" t="s">
        <v>94</v>
      </c>
      <c r="B5" s="6" t="s">
        <v>95</v>
      </c>
      <c r="C5" s="6">
        <v>34</v>
      </c>
      <c r="D5" s="6" t="s">
        <v>96</v>
      </c>
      <c r="E5" s="6">
        <v>14</v>
      </c>
      <c r="F5" s="6" t="s">
        <v>97</v>
      </c>
      <c r="G5" s="6">
        <v>1</v>
      </c>
      <c r="H5" s="6" t="s">
        <v>98</v>
      </c>
      <c r="I5" s="6" t="s">
        <v>99</v>
      </c>
      <c r="J5" s="6" t="s">
        <v>100</v>
      </c>
      <c r="K5" s="6">
        <v>225</v>
      </c>
      <c r="L5" s="6">
        <v>0</v>
      </c>
      <c r="M5" s="6">
        <v>0</v>
      </c>
      <c r="N5" s="6">
        <v>10</v>
      </c>
      <c r="O5" s="6">
        <v>12</v>
      </c>
      <c r="P5" s="6">
        <v>8500</v>
      </c>
      <c r="Q5" s="6">
        <v>10</v>
      </c>
      <c r="R5" s="6">
        <v>8</v>
      </c>
      <c r="S5" s="6">
        <v>7</v>
      </c>
      <c r="T5" s="6">
        <v>7</v>
      </c>
      <c r="U5" s="6">
        <v>4</v>
      </c>
      <c r="V5" s="6">
        <v>3</v>
      </c>
      <c r="W5" s="6">
        <v>3</v>
      </c>
      <c r="X5" s="6">
        <v>1</v>
      </c>
      <c r="Y5" s="6"/>
      <c r="Z5" s="6">
        <v>0</v>
      </c>
      <c r="AA5" s="6">
        <v>0</v>
      </c>
      <c r="AB5" s="6" t="s">
        <v>101</v>
      </c>
      <c r="AC5" s="6" t="s">
        <v>102</v>
      </c>
      <c r="AD5" s="6">
        <v>1</v>
      </c>
    </row>
    <row r="6" spans="1:30" ht="17" customHeight="1" x14ac:dyDescent="0.35">
      <c r="A6" s="7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7"/>
      <c r="P6" s="8"/>
      <c r="Q6" s="7"/>
      <c r="R6" s="7"/>
      <c r="S6" s="7"/>
      <c r="T6" s="8"/>
      <c r="U6" s="7"/>
      <c r="V6" s="7"/>
      <c r="W6" s="8"/>
      <c r="X6" s="8"/>
      <c r="Y6" s="8"/>
      <c r="Z6" s="8"/>
      <c r="AA6" s="8"/>
      <c r="AB6" s="9"/>
      <c r="AC6" s="9"/>
      <c r="AD6" s="9"/>
    </row>
    <row r="7" spans="1:30" ht="17" customHeight="1" x14ac:dyDescent="0.35">
      <c r="A7" s="7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7"/>
      <c r="P7" s="8"/>
      <c r="Q7" s="7"/>
      <c r="R7" s="7"/>
      <c r="S7" s="7"/>
      <c r="T7" s="8"/>
      <c r="U7" s="7"/>
      <c r="V7" s="7"/>
      <c r="W7" s="8"/>
      <c r="X7" s="8"/>
      <c r="Y7" s="8"/>
      <c r="Z7" s="8"/>
      <c r="AA7" s="8"/>
      <c r="AB7" s="9"/>
      <c r="AC7" s="9"/>
      <c r="AD7" s="9"/>
    </row>
    <row r="8" spans="1:30" ht="17" customHeight="1" x14ac:dyDescent="0.35">
      <c r="A8" s="7"/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8"/>
      <c r="N8" s="8"/>
      <c r="O8" s="7"/>
      <c r="P8" s="8"/>
      <c r="Q8" s="7"/>
      <c r="R8" s="7"/>
      <c r="S8" s="7"/>
      <c r="T8" s="8"/>
      <c r="U8" s="7"/>
      <c r="V8" s="7"/>
      <c r="W8" s="8"/>
      <c r="X8" s="8"/>
      <c r="Y8" s="8"/>
      <c r="Z8" s="8"/>
      <c r="AA8" s="8"/>
      <c r="AB8" s="9"/>
      <c r="AC8" s="9"/>
      <c r="AD8" s="9"/>
    </row>
    <row r="9" spans="1:30" ht="17" customHeight="1" x14ac:dyDescent="0.35">
      <c r="A9" s="7"/>
      <c r="B9" s="7"/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7"/>
      <c r="P9" s="8"/>
      <c r="Q9" s="7"/>
      <c r="R9" s="7"/>
      <c r="S9" s="7"/>
      <c r="T9" s="8"/>
      <c r="U9" s="7"/>
      <c r="V9" s="7"/>
      <c r="W9" s="8"/>
      <c r="X9" s="8"/>
      <c r="Y9" s="8"/>
      <c r="Z9" s="8"/>
      <c r="AA9" s="8"/>
      <c r="AB9" s="9"/>
      <c r="AC9" s="9"/>
      <c r="AD9" s="9"/>
    </row>
    <row r="10" spans="1:30" ht="17" customHeight="1" x14ac:dyDescent="0.35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7"/>
      <c r="P10" s="8"/>
      <c r="Q10" s="7"/>
      <c r="R10" s="7"/>
      <c r="S10" s="7"/>
      <c r="T10" s="8"/>
      <c r="U10" s="7"/>
      <c r="V10" s="7"/>
      <c r="W10" s="8"/>
      <c r="X10" s="8"/>
      <c r="Y10" s="8"/>
      <c r="Z10" s="8"/>
      <c r="AA10" s="8"/>
      <c r="AB10" s="9"/>
      <c r="AC10" s="9"/>
      <c r="AD10" s="9"/>
    </row>
    <row r="11" spans="1:30" ht="17" customHeight="1" x14ac:dyDescent="0.35">
      <c r="A11" s="7"/>
      <c r="B11" s="7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7"/>
      <c r="P11" s="8"/>
      <c r="Q11" s="7"/>
      <c r="R11" s="7"/>
      <c r="S11" s="7"/>
      <c r="T11" s="8"/>
      <c r="U11" s="7"/>
      <c r="V11" s="7"/>
      <c r="W11" s="8"/>
      <c r="X11" s="8"/>
      <c r="Y11" s="8"/>
      <c r="Z11" s="8"/>
      <c r="AA11" s="8"/>
      <c r="AB11" s="9"/>
      <c r="AC11" s="9"/>
      <c r="AD11" s="9"/>
    </row>
    <row r="12" spans="1:30" ht="17" customHeight="1" x14ac:dyDescent="0.35">
      <c r="A12" s="7"/>
      <c r="B12" s="7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7"/>
      <c r="P12" s="8"/>
      <c r="Q12" s="7"/>
      <c r="R12" s="7"/>
      <c r="S12" s="7"/>
      <c r="T12" s="8"/>
      <c r="U12" s="7"/>
      <c r="V12" s="7"/>
      <c r="W12" s="8"/>
      <c r="X12" s="8"/>
      <c r="Y12" s="8"/>
      <c r="Z12" s="8"/>
      <c r="AA12" s="8"/>
      <c r="AB12" s="9"/>
      <c r="AC12" s="9"/>
      <c r="AD12" s="9"/>
    </row>
    <row r="13" spans="1:30" ht="17" customHeight="1" x14ac:dyDescent="0.35">
      <c r="A13" s="7"/>
      <c r="B13" s="7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  <c r="N13" s="8"/>
      <c r="O13" s="7"/>
      <c r="P13" s="8"/>
      <c r="Q13" s="7"/>
      <c r="R13" s="7"/>
      <c r="S13" s="7"/>
      <c r="T13" s="8"/>
      <c r="U13" s="7"/>
      <c r="V13" s="7"/>
      <c r="W13" s="8"/>
      <c r="X13" s="8"/>
      <c r="Y13" s="8"/>
      <c r="Z13" s="8"/>
      <c r="AA13" s="8"/>
      <c r="AB13" s="9"/>
      <c r="AC13" s="9"/>
      <c r="AD13" s="9"/>
    </row>
    <row r="14" spans="1:30" ht="17" customHeight="1" x14ac:dyDescent="0.35">
      <c r="A14" s="7"/>
      <c r="B14" s="7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  <c r="N14" s="8"/>
      <c r="O14" s="7"/>
      <c r="P14" s="8"/>
      <c r="Q14" s="7"/>
      <c r="R14" s="7"/>
      <c r="S14" s="7"/>
      <c r="T14" s="8"/>
      <c r="U14" s="7"/>
      <c r="V14" s="7"/>
      <c r="W14" s="8"/>
      <c r="X14" s="8"/>
      <c r="Y14" s="8"/>
      <c r="Z14" s="8"/>
      <c r="AA14" s="8"/>
      <c r="AB14" s="9"/>
      <c r="AC14" s="9"/>
      <c r="AD14" s="9"/>
    </row>
    <row r="15" spans="1:30" ht="17" customHeight="1" x14ac:dyDescent="0.35">
      <c r="A15" s="7"/>
      <c r="B15" s="7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  <c r="N15" s="8"/>
      <c r="O15" s="7"/>
      <c r="P15" s="8"/>
      <c r="Q15" s="7"/>
      <c r="R15" s="7"/>
      <c r="S15" s="7"/>
      <c r="T15" s="8"/>
      <c r="U15" s="7"/>
      <c r="V15" s="7"/>
      <c r="W15" s="8"/>
      <c r="X15" s="8"/>
      <c r="Y15" s="8"/>
      <c r="Z15" s="8"/>
      <c r="AA15" s="8"/>
      <c r="AB15" s="9"/>
      <c r="AC15" s="9"/>
      <c r="AD15" s="9"/>
    </row>
    <row r="16" spans="1:30" ht="17" customHeight="1" x14ac:dyDescent="0.3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7"/>
      <c r="P16" s="8"/>
      <c r="Q16" s="7"/>
      <c r="R16" s="7"/>
      <c r="S16" s="7"/>
      <c r="T16" s="8"/>
      <c r="U16" s="7"/>
      <c r="V16" s="7"/>
      <c r="W16" s="8"/>
      <c r="X16" s="8"/>
      <c r="Y16" s="8"/>
      <c r="Z16" s="8"/>
      <c r="AA16" s="8"/>
      <c r="AB16" s="9"/>
      <c r="AC16" s="9"/>
      <c r="AD16" s="9"/>
    </row>
    <row r="17" spans="1:30" ht="17" customHeight="1" x14ac:dyDescent="0.3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7"/>
      <c r="P17" s="8"/>
      <c r="Q17" s="7"/>
      <c r="R17" s="7"/>
      <c r="S17" s="7"/>
      <c r="T17" s="8"/>
      <c r="U17" s="7"/>
      <c r="V17" s="7"/>
      <c r="W17" s="8"/>
      <c r="X17" s="8"/>
      <c r="Y17" s="8"/>
      <c r="Z17" s="8"/>
      <c r="AA17" s="8"/>
      <c r="AB17" s="9"/>
      <c r="AC17" s="9"/>
      <c r="AD17" s="9"/>
    </row>
    <row r="18" spans="1:30" ht="17" customHeight="1" x14ac:dyDescent="0.35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7"/>
      <c r="P18" s="8"/>
      <c r="Q18" s="7"/>
      <c r="R18" s="7"/>
      <c r="S18" s="7"/>
      <c r="T18" s="8"/>
      <c r="U18" s="7"/>
      <c r="V18" s="7"/>
      <c r="W18" s="8"/>
      <c r="X18" s="8"/>
      <c r="Y18" s="8"/>
      <c r="Z18" s="8"/>
      <c r="AA18" s="8"/>
      <c r="AB18" s="9"/>
      <c r="AC18" s="9"/>
      <c r="AD18" s="9"/>
    </row>
    <row r="19" spans="1:30" ht="17" customHeight="1" x14ac:dyDescent="0.35">
      <c r="A19" s="7"/>
      <c r="B19" s="7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7"/>
      <c r="P19" s="8"/>
      <c r="Q19" s="7"/>
      <c r="R19" s="7"/>
      <c r="S19" s="7"/>
      <c r="T19" s="8"/>
      <c r="U19" s="7"/>
      <c r="V19" s="7"/>
      <c r="W19" s="8"/>
      <c r="X19" s="8"/>
      <c r="Y19" s="8"/>
      <c r="Z19" s="8"/>
      <c r="AA19" s="8"/>
      <c r="AB19" s="9"/>
      <c r="AC19" s="9"/>
      <c r="AD19" s="9"/>
    </row>
    <row r="20" spans="1:30" ht="17" customHeight="1" x14ac:dyDescent="0.35">
      <c r="A20" s="7"/>
      <c r="B20" s="7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7"/>
      <c r="P20" s="8"/>
      <c r="Q20" s="7"/>
      <c r="R20" s="7"/>
      <c r="S20" s="7"/>
      <c r="T20" s="8"/>
      <c r="U20" s="7"/>
      <c r="V20" s="7"/>
      <c r="W20" s="8"/>
      <c r="X20" s="8"/>
      <c r="Y20" s="8"/>
      <c r="Z20" s="8"/>
      <c r="AA20" s="8"/>
      <c r="AB20" s="9"/>
      <c r="AC20" s="9"/>
      <c r="AD20" s="9"/>
    </row>
    <row r="21" spans="1:30" ht="17" customHeight="1" x14ac:dyDescent="0.35">
      <c r="A21" s="7"/>
      <c r="B21" s="7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  <c r="N21" s="8"/>
      <c r="O21" s="7"/>
      <c r="P21" s="8"/>
      <c r="Q21" s="7"/>
      <c r="R21" s="7"/>
      <c r="S21" s="7"/>
      <c r="T21" s="8"/>
      <c r="U21" s="7"/>
      <c r="V21" s="7"/>
      <c r="W21" s="8"/>
      <c r="X21" s="8"/>
      <c r="Y21" s="8"/>
      <c r="Z21" s="8"/>
      <c r="AA21" s="8"/>
      <c r="AB21" s="9"/>
      <c r="AC21" s="9"/>
      <c r="AD21" s="9"/>
    </row>
    <row r="22" spans="1:30" ht="17" customHeight="1" x14ac:dyDescent="0.35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7"/>
      <c r="P22" s="8"/>
      <c r="Q22" s="7"/>
      <c r="R22" s="7"/>
      <c r="S22" s="7"/>
      <c r="T22" s="8"/>
      <c r="U22" s="7"/>
      <c r="V22" s="7"/>
      <c r="W22" s="8"/>
      <c r="X22" s="8"/>
      <c r="Y22" s="8"/>
      <c r="Z22" s="8"/>
      <c r="AA22" s="8"/>
      <c r="AB22" s="9"/>
      <c r="AC22" s="9"/>
      <c r="AD22" s="9"/>
    </row>
    <row r="23" spans="1:30" ht="17" customHeight="1" x14ac:dyDescent="0.35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7"/>
      <c r="P23" s="8"/>
      <c r="Q23" s="7"/>
      <c r="R23" s="7"/>
      <c r="S23" s="7"/>
      <c r="T23" s="8"/>
      <c r="U23" s="7"/>
      <c r="V23" s="7"/>
      <c r="W23" s="8"/>
      <c r="X23" s="8"/>
      <c r="Y23" s="8"/>
      <c r="Z23" s="8"/>
      <c r="AA23" s="8"/>
      <c r="AB23" s="9"/>
      <c r="AC23" s="9"/>
      <c r="AD23" s="9"/>
    </row>
    <row r="24" spans="1:30" ht="17" customHeight="1" x14ac:dyDescent="0.35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7"/>
      <c r="P24" s="8"/>
      <c r="Q24" s="7"/>
      <c r="R24" s="7"/>
      <c r="S24" s="7"/>
      <c r="T24" s="8"/>
      <c r="U24" s="7"/>
      <c r="V24" s="7"/>
      <c r="W24" s="8"/>
      <c r="X24" s="8"/>
      <c r="Y24" s="8"/>
      <c r="Z24" s="8"/>
      <c r="AA24" s="8"/>
      <c r="AB24" s="9"/>
      <c r="AC24" s="9"/>
      <c r="AD24" s="9"/>
    </row>
    <row r="25" spans="1:30" ht="17" customHeight="1" x14ac:dyDescent="0.35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7"/>
      <c r="P25" s="8"/>
      <c r="Q25" s="7"/>
      <c r="R25" s="7"/>
      <c r="S25" s="7"/>
      <c r="T25" s="8"/>
      <c r="U25" s="7"/>
      <c r="V25" s="7"/>
      <c r="W25" s="8"/>
      <c r="X25" s="8"/>
      <c r="Y25" s="8"/>
      <c r="Z25" s="8"/>
      <c r="AA25" s="8"/>
      <c r="AB25" s="9"/>
      <c r="AC25" s="9"/>
      <c r="AD25" s="9"/>
    </row>
    <row r="26" spans="1:30" ht="17" customHeight="1" x14ac:dyDescent="0.35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7"/>
      <c r="P26" s="8"/>
      <c r="Q26" s="7"/>
      <c r="R26" s="7"/>
      <c r="S26" s="7"/>
      <c r="T26" s="8"/>
      <c r="U26" s="7"/>
      <c r="V26" s="7"/>
      <c r="W26" s="8"/>
      <c r="X26" s="8"/>
      <c r="Y26" s="8"/>
      <c r="Z26" s="8"/>
      <c r="AA26" s="8"/>
      <c r="AB26" s="9"/>
      <c r="AC26" s="9"/>
      <c r="AD26" s="9"/>
    </row>
    <row r="27" spans="1:30" ht="17" customHeight="1" x14ac:dyDescent="0.35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  <c r="N27" s="8"/>
      <c r="O27" s="7"/>
      <c r="P27" s="8"/>
      <c r="Q27" s="7"/>
      <c r="R27" s="7"/>
      <c r="S27" s="7"/>
      <c r="T27" s="8"/>
      <c r="U27" s="7"/>
      <c r="V27" s="7"/>
      <c r="W27" s="8"/>
      <c r="X27" s="8"/>
      <c r="Y27" s="8"/>
      <c r="Z27" s="8"/>
      <c r="AA27" s="8"/>
      <c r="AB27" s="9"/>
      <c r="AC27" s="9"/>
      <c r="AD27" s="9"/>
    </row>
    <row r="28" spans="1:30" ht="17" customHeight="1" x14ac:dyDescent="0.35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  <c r="N28" s="8"/>
      <c r="O28" s="7"/>
      <c r="P28" s="8"/>
      <c r="Q28" s="7"/>
      <c r="R28" s="7"/>
      <c r="S28" s="7"/>
      <c r="T28" s="8"/>
      <c r="U28" s="7"/>
      <c r="V28" s="7"/>
      <c r="W28" s="8"/>
      <c r="X28" s="8"/>
      <c r="Y28" s="8"/>
      <c r="Z28" s="8"/>
      <c r="AA28" s="8"/>
      <c r="AB28" s="9"/>
      <c r="AC28" s="9"/>
      <c r="AD28" s="9"/>
    </row>
    <row r="29" spans="1:30" ht="17" customHeight="1" x14ac:dyDescent="0.35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8"/>
      <c r="N29" s="8"/>
      <c r="O29" s="7"/>
      <c r="P29" s="8"/>
      <c r="Q29" s="7"/>
      <c r="R29" s="7"/>
      <c r="S29" s="7"/>
      <c r="T29" s="8"/>
      <c r="U29" s="7"/>
      <c r="V29" s="7"/>
      <c r="W29" s="8"/>
      <c r="X29" s="8"/>
      <c r="Y29" s="8"/>
      <c r="Z29" s="8"/>
      <c r="AA29" s="8"/>
      <c r="AB29" s="9"/>
      <c r="AC29" s="9"/>
      <c r="AD29" s="9"/>
    </row>
    <row r="30" spans="1:30" ht="17" customHeight="1" x14ac:dyDescent="0.35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8"/>
      <c r="N30" s="8"/>
      <c r="O30" s="7"/>
      <c r="P30" s="8"/>
      <c r="Q30" s="7"/>
      <c r="R30" s="7"/>
      <c r="S30" s="7"/>
      <c r="T30" s="8"/>
      <c r="U30" s="7"/>
      <c r="V30" s="7"/>
      <c r="W30" s="8"/>
      <c r="X30" s="8"/>
      <c r="Y30" s="8"/>
      <c r="Z30" s="8"/>
      <c r="AA30" s="8"/>
      <c r="AB30" s="9"/>
      <c r="AC30" s="9"/>
      <c r="AD30" s="9"/>
    </row>
    <row r="31" spans="1:30" ht="17" customHeight="1" x14ac:dyDescent="0.35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8"/>
      <c r="N31" s="8"/>
      <c r="O31" s="7"/>
      <c r="P31" s="8"/>
      <c r="Q31" s="7"/>
      <c r="R31" s="7"/>
      <c r="S31" s="7"/>
      <c r="T31" s="8"/>
      <c r="U31" s="7"/>
      <c r="V31" s="7"/>
      <c r="W31" s="8"/>
      <c r="X31" s="8"/>
      <c r="Y31" s="8"/>
      <c r="Z31" s="8"/>
      <c r="AA31" s="8"/>
      <c r="AB31" s="9"/>
      <c r="AC31" s="9"/>
      <c r="AD31" s="9"/>
    </row>
    <row r="32" spans="1:30" ht="17" customHeight="1" x14ac:dyDescent="0.35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8"/>
      <c r="N32" s="8"/>
      <c r="O32" s="7"/>
      <c r="P32" s="8"/>
      <c r="Q32" s="7"/>
      <c r="R32" s="7"/>
      <c r="S32" s="7"/>
      <c r="T32" s="8"/>
      <c r="U32" s="7"/>
      <c r="V32" s="7"/>
      <c r="W32" s="8"/>
      <c r="X32" s="8"/>
      <c r="Y32" s="8"/>
      <c r="Z32" s="8"/>
      <c r="AA32" s="8"/>
      <c r="AB32" s="9"/>
      <c r="AC32" s="9"/>
      <c r="AD32" s="9"/>
    </row>
    <row r="33" spans="1:30" ht="17" customHeight="1" x14ac:dyDescent="0.35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8"/>
      <c r="N33" s="8"/>
      <c r="O33" s="7"/>
      <c r="P33" s="8"/>
      <c r="Q33" s="7"/>
      <c r="R33" s="7"/>
      <c r="S33" s="7"/>
      <c r="T33" s="8"/>
      <c r="U33" s="7"/>
      <c r="V33" s="7"/>
      <c r="W33" s="8"/>
      <c r="X33" s="8"/>
      <c r="Y33" s="8"/>
      <c r="Z33" s="8"/>
      <c r="AA33" s="8"/>
      <c r="AB33" s="9"/>
      <c r="AC33" s="9"/>
      <c r="AD33" s="9"/>
    </row>
    <row r="34" spans="1:30" ht="17" customHeight="1" x14ac:dyDescent="0.35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8"/>
      <c r="N34" s="8"/>
      <c r="O34" s="7"/>
      <c r="P34" s="8"/>
      <c r="Q34" s="7"/>
      <c r="R34" s="7"/>
      <c r="S34" s="7"/>
      <c r="T34" s="8"/>
      <c r="U34" s="7"/>
      <c r="V34" s="7"/>
      <c r="W34" s="8"/>
      <c r="X34" s="8"/>
      <c r="Y34" s="8"/>
      <c r="Z34" s="8"/>
      <c r="AA34" s="8"/>
      <c r="AB34" s="9"/>
      <c r="AC34" s="9"/>
      <c r="AD34" s="9"/>
    </row>
    <row r="35" spans="1:30" ht="17" customHeight="1" x14ac:dyDescent="0.35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7"/>
      <c r="P35" s="8"/>
      <c r="Q35" s="7"/>
      <c r="R35" s="7"/>
      <c r="S35" s="7"/>
      <c r="T35" s="8"/>
      <c r="U35" s="7"/>
      <c r="V35" s="7"/>
      <c r="W35" s="8"/>
      <c r="X35" s="8"/>
      <c r="Y35" s="8"/>
      <c r="Z35" s="8"/>
      <c r="AA35" s="8"/>
      <c r="AB35" s="9"/>
      <c r="AC35" s="9"/>
      <c r="AD35" s="9"/>
    </row>
    <row r="36" spans="1:30" ht="17" customHeight="1" x14ac:dyDescent="0.35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7"/>
      <c r="P36" s="8"/>
      <c r="Q36" s="7"/>
      <c r="R36" s="7"/>
      <c r="S36" s="7"/>
      <c r="T36" s="8"/>
      <c r="U36" s="7"/>
      <c r="V36" s="7"/>
      <c r="W36" s="8"/>
      <c r="X36" s="8"/>
      <c r="Y36" s="8"/>
      <c r="Z36" s="8"/>
      <c r="AA36" s="8"/>
      <c r="AB36" s="9"/>
      <c r="AC36" s="9"/>
      <c r="AD36" s="9"/>
    </row>
    <row r="37" spans="1:30" ht="17" customHeight="1" x14ac:dyDescent="0.35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7"/>
      <c r="P37" s="8"/>
      <c r="Q37" s="7"/>
      <c r="R37" s="7"/>
      <c r="S37" s="7"/>
      <c r="T37" s="8"/>
      <c r="U37" s="7"/>
      <c r="V37" s="7"/>
      <c r="W37" s="8"/>
      <c r="X37" s="8"/>
      <c r="Y37" s="8"/>
      <c r="Z37" s="8"/>
      <c r="AA37" s="8"/>
      <c r="AB37" s="9"/>
      <c r="AC37" s="9"/>
      <c r="AD37" s="9"/>
    </row>
    <row r="38" spans="1:30" ht="17" customHeight="1" x14ac:dyDescent="0.35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  <c r="L38" s="8"/>
      <c r="M38" s="8"/>
      <c r="N38" s="8"/>
      <c r="O38" s="7"/>
      <c r="P38" s="8"/>
      <c r="Q38" s="7"/>
      <c r="R38" s="7"/>
      <c r="S38" s="7"/>
      <c r="T38" s="8"/>
      <c r="U38" s="7"/>
      <c r="V38" s="7"/>
      <c r="W38" s="8"/>
      <c r="X38" s="8"/>
      <c r="Y38" s="8"/>
      <c r="Z38" s="8"/>
      <c r="AA38" s="8"/>
      <c r="AB38" s="9"/>
      <c r="AC38" s="9"/>
      <c r="AD38" s="9"/>
    </row>
    <row r="39" spans="1:30" ht="17" customHeight="1" x14ac:dyDescent="0.35">
      <c r="A39" s="7"/>
      <c r="B39" s="7"/>
      <c r="C39" s="7"/>
      <c r="D39" s="7"/>
      <c r="E39" s="7"/>
      <c r="F39" s="7"/>
      <c r="G39" s="7"/>
      <c r="H39" s="7"/>
      <c r="I39" s="8"/>
      <c r="J39" s="8"/>
      <c r="K39" s="8"/>
      <c r="L39" s="8"/>
      <c r="M39" s="8"/>
      <c r="N39" s="8"/>
      <c r="O39" s="7"/>
      <c r="P39" s="8"/>
      <c r="Q39" s="7"/>
      <c r="R39" s="7"/>
      <c r="S39" s="7"/>
      <c r="T39" s="8"/>
      <c r="U39" s="7"/>
      <c r="V39" s="7"/>
      <c r="W39" s="8"/>
      <c r="X39" s="8"/>
      <c r="Y39" s="8"/>
      <c r="Z39" s="8"/>
      <c r="AA39" s="8"/>
      <c r="AB39" s="9"/>
      <c r="AC39" s="9"/>
      <c r="AD39" s="9"/>
    </row>
    <row r="40" spans="1:30" ht="17" customHeight="1" x14ac:dyDescent="0.35">
      <c r="A40" s="7"/>
      <c r="B40" s="7"/>
      <c r="C40" s="7"/>
      <c r="D40" s="7"/>
      <c r="E40" s="7"/>
      <c r="F40" s="7"/>
      <c r="G40" s="7"/>
      <c r="H40" s="7"/>
      <c r="I40" s="8"/>
      <c r="J40" s="8"/>
      <c r="K40" s="8"/>
      <c r="L40" s="8"/>
      <c r="M40" s="8"/>
      <c r="N40" s="8"/>
      <c r="O40" s="7"/>
      <c r="P40" s="8"/>
      <c r="Q40" s="7"/>
      <c r="R40" s="7"/>
      <c r="S40" s="7"/>
      <c r="T40" s="8"/>
      <c r="U40" s="7"/>
      <c r="V40" s="7"/>
      <c r="W40" s="8"/>
      <c r="X40" s="8"/>
      <c r="Y40" s="8"/>
      <c r="Z40" s="8"/>
      <c r="AA40" s="8"/>
      <c r="AB40" s="9"/>
      <c r="AC40" s="9"/>
      <c r="AD40" s="9"/>
    </row>
    <row r="41" spans="1:30" ht="17" customHeight="1" x14ac:dyDescent="0.35">
      <c r="A41" s="7"/>
      <c r="B41" s="7"/>
      <c r="C41" s="7"/>
      <c r="D41" s="7"/>
      <c r="E41" s="7"/>
      <c r="F41" s="7"/>
      <c r="G41" s="7"/>
      <c r="H41" s="7"/>
      <c r="I41" s="8"/>
      <c r="J41" s="8"/>
      <c r="K41" s="8"/>
      <c r="L41" s="8"/>
      <c r="M41" s="8"/>
      <c r="N41" s="8"/>
      <c r="O41" s="7"/>
      <c r="P41" s="8"/>
      <c r="Q41" s="7"/>
      <c r="R41" s="7"/>
      <c r="S41" s="7"/>
      <c r="T41" s="8"/>
      <c r="U41" s="7"/>
      <c r="V41" s="7"/>
      <c r="W41" s="8"/>
      <c r="X41" s="8"/>
      <c r="Y41" s="8"/>
      <c r="Z41" s="8"/>
      <c r="AA41" s="8"/>
      <c r="AB41" s="9"/>
      <c r="AC41" s="9"/>
      <c r="AD41" s="9"/>
    </row>
    <row r="42" spans="1:30" ht="17" customHeight="1" x14ac:dyDescent="0.35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7"/>
      <c r="P42" s="8"/>
      <c r="Q42" s="7"/>
      <c r="R42" s="7"/>
      <c r="S42" s="7"/>
      <c r="T42" s="8"/>
      <c r="U42" s="7"/>
      <c r="V42" s="7"/>
      <c r="W42" s="8"/>
      <c r="X42" s="8"/>
      <c r="Y42" s="8"/>
      <c r="Z42" s="8"/>
      <c r="AA42" s="8"/>
      <c r="AB42" s="9"/>
      <c r="AC42" s="9"/>
      <c r="AD42" s="9"/>
    </row>
    <row r="43" spans="1:30" ht="17" customHeight="1" x14ac:dyDescent="0.35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7"/>
      <c r="P43" s="8"/>
      <c r="Q43" s="7"/>
      <c r="R43" s="7"/>
      <c r="S43" s="7"/>
      <c r="T43" s="8"/>
      <c r="U43" s="7"/>
      <c r="V43" s="7"/>
      <c r="W43" s="8"/>
      <c r="X43" s="8"/>
      <c r="Y43" s="8"/>
      <c r="Z43" s="8"/>
      <c r="AA43" s="8"/>
      <c r="AB43" s="9"/>
      <c r="AC43" s="9"/>
      <c r="AD43" s="9"/>
    </row>
    <row r="44" spans="1:30" ht="17" customHeight="1" x14ac:dyDescent="0.35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7"/>
      <c r="P44" s="8"/>
      <c r="Q44" s="7"/>
      <c r="R44" s="7"/>
      <c r="S44" s="7"/>
      <c r="T44" s="8"/>
      <c r="U44" s="7"/>
      <c r="V44" s="7"/>
      <c r="W44" s="8"/>
      <c r="X44" s="8"/>
      <c r="Y44" s="8"/>
      <c r="Z44" s="8"/>
      <c r="AA44" s="8"/>
      <c r="AB44" s="9"/>
      <c r="AC44" s="9"/>
      <c r="AD44" s="9"/>
    </row>
    <row r="45" spans="1:30" ht="17" customHeight="1" x14ac:dyDescent="0.35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7"/>
      <c r="P45" s="8"/>
      <c r="Q45" s="7"/>
      <c r="R45" s="7"/>
      <c r="S45" s="7"/>
      <c r="T45" s="8"/>
      <c r="U45" s="7"/>
      <c r="V45" s="7"/>
      <c r="W45" s="8"/>
      <c r="X45" s="8"/>
      <c r="Y45" s="8"/>
      <c r="Z45" s="8"/>
      <c r="AA45" s="8"/>
      <c r="AB45" s="9"/>
      <c r="AC45" s="9"/>
      <c r="AD45" s="9"/>
    </row>
    <row r="46" spans="1:30" ht="17" customHeight="1" x14ac:dyDescent="0.35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7"/>
      <c r="P46" s="8"/>
      <c r="Q46" s="7"/>
      <c r="R46" s="7"/>
      <c r="S46" s="7"/>
      <c r="T46" s="8"/>
      <c r="U46" s="7"/>
      <c r="V46" s="7"/>
      <c r="W46" s="8"/>
      <c r="X46" s="8"/>
      <c r="Y46" s="8"/>
      <c r="Z46" s="8"/>
      <c r="AA46" s="8"/>
      <c r="AB46" s="9"/>
      <c r="AC46" s="9"/>
      <c r="AD46" s="9"/>
    </row>
    <row r="47" spans="1:30" ht="17" customHeight="1" x14ac:dyDescent="0.35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7"/>
      <c r="P47" s="8"/>
      <c r="Q47" s="7"/>
      <c r="R47" s="7"/>
      <c r="S47" s="7"/>
      <c r="T47" s="8"/>
      <c r="U47" s="7"/>
      <c r="V47" s="7"/>
      <c r="W47" s="8"/>
      <c r="X47" s="8"/>
      <c r="Y47" s="8"/>
      <c r="Z47" s="8"/>
      <c r="AA47" s="8"/>
      <c r="AB47" s="9"/>
      <c r="AC47" s="9"/>
      <c r="AD47" s="9"/>
    </row>
    <row r="48" spans="1:30" ht="17" customHeight="1" x14ac:dyDescent="0.35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7"/>
      <c r="P48" s="8"/>
      <c r="Q48" s="7"/>
      <c r="R48" s="7"/>
      <c r="S48" s="7"/>
      <c r="T48" s="8"/>
      <c r="U48" s="7"/>
      <c r="V48" s="7"/>
      <c r="W48" s="8"/>
      <c r="X48" s="8"/>
      <c r="Y48" s="8"/>
      <c r="Z48" s="8"/>
      <c r="AA48" s="8"/>
      <c r="AB48" s="9"/>
      <c r="AC48" s="9"/>
      <c r="AD48" s="9"/>
    </row>
    <row r="49" spans="1:30" ht="17" customHeight="1" x14ac:dyDescent="0.35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7"/>
      <c r="P49" s="8"/>
      <c r="Q49" s="7"/>
      <c r="R49" s="7"/>
      <c r="S49" s="7"/>
      <c r="T49" s="8"/>
      <c r="U49" s="7"/>
      <c r="V49" s="7"/>
      <c r="W49" s="8"/>
      <c r="X49" s="8"/>
      <c r="Y49" s="8"/>
      <c r="Z49" s="8"/>
      <c r="AA49" s="8"/>
      <c r="AB49" s="9"/>
      <c r="AC49" s="9"/>
      <c r="AD49" s="9"/>
    </row>
    <row r="50" spans="1:30" ht="17" customHeight="1" x14ac:dyDescent="0.35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7"/>
      <c r="P50" s="8"/>
      <c r="Q50" s="7"/>
      <c r="R50" s="7"/>
      <c r="S50" s="7"/>
      <c r="T50" s="8"/>
      <c r="U50" s="7"/>
      <c r="V50" s="7"/>
      <c r="W50" s="8"/>
      <c r="X50" s="8"/>
      <c r="Y50" s="8"/>
      <c r="Z50" s="8"/>
      <c r="AA50" s="8"/>
      <c r="AB50" s="9"/>
      <c r="AC50" s="9"/>
      <c r="AD50" s="9"/>
    </row>
    <row r="51" spans="1:30" ht="17" customHeight="1" x14ac:dyDescent="0.35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7"/>
      <c r="P51" s="8"/>
      <c r="Q51" s="7"/>
      <c r="R51" s="7"/>
      <c r="S51" s="7"/>
      <c r="T51" s="8"/>
      <c r="U51" s="7"/>
      <c r="V51" s="7"/>
      <c r="W51" s="8"/>
      <c r="X51" s="8"/>
      <c r="Y51" s="8"/>
      <c r="Z51" s="8"/>
      <c r="AA51" s="8"/>
      <c r="AB51" s="9"/>
      <c r="AC51" s="9"/>
      <c r="AD51" s="9"/>
    </row>
    <row r="52" spans="1:30" ht="17" customHeight="1" x14ac:dyDescent="0.35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7"/>
      <c r="P52" s="8"/>
      <c r="Q52" s="7"/>
      <c r="R52" s="7"/>
      <c r="S52" s="7"/>
      <c r="T52" s="8"/>
      <c r="U52" s="7"/>
      <c r="V52" s="7"/>
      <c r="W52" s="8"/>
      <c r="X52" s="8"/>
      <c r="Y52" s="8"/>
      <c r="Z52" s="8"/>
      <c r="AA52" s="8"/>
      <c r="AB52" s="9"/>
      <c r="AC52" s="9"/>
      <c r="AD52" s="9"/>
    </row>
    <row r="53" spans="1:30" ht="17" customHeight="1" x14ac:dyDescent="0.35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7"/>
      <c r="P53" s="8"/>
      <c r="Q53" s="7"/>
      <c r="R53" s="7"/>
      <c r="S53" s="7"/>
      <c r="T53" s="8"/>
      <c r="U53" s="7"/>
      <c r="V53" s="7"/>
      <c r="W53" s="8"/>
      <c r="X53" s="8"/>
      <c r="Y53" s="8"/>
      <c r="Z53" s="8"/>
      <c r="AA53" s="8"/>
      <c r="AB53" s="9"/>
      <c r="AC53" s="9"/>
      <c r="AD53" s="9"/>
    </row>
    <row r="54" spans="1:30" ht="17" customHeight="1" x14ac:dyDescent="0.35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7"/>
      <c r="P54" s="8"/>
      <c r="Q54" s="7"/>
      <c r="R54" s="7"/>
      <c r="S54" s="7"/>
      <c r="T54" s="8"/>
      <c r="U54" s="7"/>
      <c r="V54" s="7"/>
      <c r="W54" s="8"/>
      <c r="X54" s="8"/>
      <c r="Y54" s="8"/>
      <c r="Z54" s="8"/>
      <c r="AA54" s="8"/>
      <c r="AB54" s="9"/>
      <c r="AC54" s="9"/>
      <c r="AD54" s="9"/>
    </row>
    <row r="55" spans="1:30" ht="17" customHeight="1" x14ac:dyDescent="0.35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7"/>
      <c r="P55" s="8"/>
      <c r="Q55" s="7"/>
      <c r="R55" s="7"/>
      <c r="S55" s="7"/>
      <c r="T55" s="8"/>
      <c r="U55" s="7"/>
      <c r="V55" s="7"/>
      <c r="W55" s="8"/>
      <c r="X55" s="8"/>
      <c r="Y55" s="8"/>
      <c r="Z55" s="8"/>
      <c r="AA55" s="8"/>
      <c r="AB55" s="9"/>
      <c r="AC55" s="9"/>
      <c r="AD55" s="9"/>
    </row>
    <row r="56" spans="1:30" ht="17" customHeight="1" x14ac:dyDescent="0.35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7"/>
      <c r="P56" s="8"/>
      <c r="Q56" s="7"/>
      <c r="R56" s="7"/>
      <c r="S56" s="7"/>
      <c r="T56" s="8"/>
      <c r="U56" s="7"/>
      <c r="V56" s="7"/>
      <c r="W56" s="8"/>
      <c r="X56" s="8"/>
      <c r="Y56" s="8"/>
      <c r="Z56" s="8"/>
      <c r="AA56" s="8"/>
      <c r="AB56" s="9"/>
      <c r="AC56" s="9"/>
      <c r="AD56" s="9"/>
    </row>
    <row r="57" spans="1:30" ht="17" customHeight="1" x14ac:dyDescent="0.35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7"/>
      <c r="P57" s="8"/>
      <c r="Q57" s="7"/>
      <c r="R57" s="7"/>
      <c r="S57" s="7"/>
      <c r="T57" s="8"/>
      <c r="U57" s="7"/>
      <c r="V57" s="7"/>
      <c r="W57" s="8"/>
      <c r="X57" s="8"/>
      <c r="Y57" s="8"/>
      <c r="Z57" s="8"/>
      <c r="AA57" s="8"/>
      <c r="AB57" s="9"/>
      <c r="AC57" s="9"/>
      <c r="AD57" s="9"/>
    </row>
    <row r="58" spans="1:30" ht="17" customHeight="1" x14ac:dyDescent="0.35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7"/>
      <c r="P58" s="8"/>
      <c r="Q58" s="7"/>
      <c r="R58" s="7"/>
      <c r="S58" s="7"/>
      <c r="T58" s="8"/>
      <c r="U58" s="7"/>
      <c r="V58" s="7"/>
      <c r="W58" s="8"/>
      <c r="X58" s="8"/>
      <c r="Y58" s="8"/>
      <c r="Z58" s="8"/>
      <c r="AA58" s="8"/>
      <c r="AB58" s="9"/>
      <c r="AC58" s="9"/>
      <c r="AD58" s="9"/>
    </row>
    <row r="59" spans="1:30" ht="17" customHeight="1" x14ac:dyDescent="0.35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7"/>
      <c r="P59" s="8"/>
      <c r="Q59" s="7"/>
      <c r="R59" s="7"/>
      <c r="S59" s="7"/>
      <c r="T59" s="8"/>
      <c r="U59" s="7"/>
      <c r="V59" s="7"/>
      <c r="W59" s="8"/>
      <c r="X59" s="8"/>
      <c r="Y59" s="8"/>
      <c r="Z59" s="8"/>
      <c r="AA59" s="8"/>
      <c r="AB59" s="9"/>
      <c r="AC59" s="9"/>
      <c r="AD59" s="9"/>
    </row>
    <row r="60" spans="1:30" ht="17" customHeight="1" x14ac:dyDescent="0.35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7"/>
      <c r="P60" s="8"/>
      <c r="Q60" s="7"/>
      <c r="R60" s="7"/>
      <c r="S60" s="7"/>
      <c r="T60" s="8"/>
      <c r="U60" s="7"/>
      <c r="V60" s="7"/>
      <c r="W60" s="8"/>
      <c r="X60" s="8"/>
      <c r="Y60" s="8"/>
      <c r="Z60" s="8"/>
      <c r="AA60" s="8"/>
      <c r="AB60" s="9"/>
      <c r="AC60" s="9"/>
      <c r="AD60" s="9"/>
    </row>
    <row r="61" spans="1:30" ht="17" customHeight="1" x14ac:dyDescent="0.35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7"/>
      <c r="P61" s="8"/>
      <c r="Q61" s="7"/>
      <c r="R61" s="7"/>
      <c r="S61" s="7"/>
      <c r="T61" s="8"/>
      <c r="U61" s="7"/>
      <c r="V61" s="7"/>
      <c r="W61" s="8"/>
      <c r="X61" s="8"/>
      <c r="Y61" s="8"/>
      <c r="Z61" s="8"/>
      <c r="AA61" s="8"/>
      <c r="AB61" s="9"/>
      <c r="AC61" s="9"/>
      <c r="AD61" s="9"/>
    </row>
    <row r="62" spans="1:30" ht="17" customHeight="1" x14ac:dyDescent="0.35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7"/>
      <c r="P62" s="8"/>
      <c r="Q62" s="7"/>
      <c r="R62" s="7"/>
      <c r="S62" s="7"/>
      <c r="T62" s="8"/>
      <c r="U62" s="7"/>
      <c r="V62" s="7"/>
      <c r="W62" s="8"/>
      <c r="X62" s="8"/>
      <c r="Y62" s="8"/>
      <c r="Z62" s="8"/>
      <c r="AA62" s="8"/>
      <c r="AB62" s="9"/>
      <c r="AC62" s="9"/>
      <c r="AD62" s="9"/>
    </row>
    <row r="63" spans="1:30" ht="17" customHeight="1" x14ac:dyDescent="0.35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7"/>
      <c r="P63" s="8"/>
      <c r="Q63" s="7"/>
      <c r="R63" s="7"/>
      <c r="S63" s="7"/>
      <c r="T63" s="8"/>
      <c r="U63" s="7"/>
      <c r="V63" s="7"/>
      <c r="W63" s="8"/>
      <c r="X63" s="8"/>
      <c r="Y63" s="8"/>
      <c r="Z63" s="8"/>
      <c r="AA63" s="8"/>
      <c r="AB63" s="9"/>
      <c r="AC63" s="9"/>
      <c r="AD63" s="9"/>
    </row>
    <row r="64" spans="1:30" ht="17" customHeight="1" x14ac:dyDescent="0.35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7"/>
      <c r="P64" s="8"/>
      <c r="Q64" s="7"/>
      <c r="R64" s="7"/>
      <c r="S64" s="7"/>
      <c r="T64" s="8"/>
      <c r="U64" s="7"/>
      <c r="V64" s="7"/>
      <c r="W64" s="8"/>
      <c r="X64" s="8"/>
      <c r="Y64" s="8"/>
      <c r="Z64" s="8"/>
      <c r="AA64" s="8"/>
      <c r="AB64" s="9"/>
      <c r="AC64" s="9"/>
      <c r="AD64" s="9"/>
    </row>
    <row r="65" spans="1:30" ht="17" customHeight="1" x14ac:dyDescent="0.35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7"/>
      <c r="P65" s="8"/>
      <c r="Q65" s="7"/>
      <c r="R65" s="7"/>
      <c r="S65" s="7"/>
      <c r="T65" s="8"/>
      <c r="U65" s="7"/>
      <c r="V65" s="7"/>
      <c r="W65" s="8"/>
      <c r="X65" s="8"/>
      <c r="Y65" s="8"/>
      <c r="Z65" s="8"/>
      <c r="AA65" s="8"/>
      <c r="AB65" s="9"/>
      <c r="AC65" s="9"/>
      <c r="AD65" s="9"/>
    </row>
    <row r="66" spans="1:30" ht="17" customHeight="1" x14ac:dyDescent="0.35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7"/>
      <c r="P66" s="8"/>
      <c r="Q66" s="7"/>
      <c r="R66" s="7"/>
      <c r="S66" s="7"/>
      <c r="T66" s="8"/>
      <c r="U66" s="7"/>
      <c r="V66" s="7"/>
      <c r="W66" s="8"/>
      <c r="X66" s="8"/>
      <c r="Y66" s="8"/>
      <c r="Z66" s="8"/>
      <c r="AA66" s="8"/>
      <c r="AB66" s="9"/>
      <c r="AC66" s="9"/>
      <c r="AD66" s="9"/>
    </row>
    <row r="67" spans="1:30" ht="17" customHeight="1" x14ac:dyDescent="0.35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7"/>
      <c r="P67" s="8"/>
      <c r="Q67" s="7"/>
      <c r="R67" s="7"/>
      <c r="S67" s="7"/>
      <c r="T67" s="8"/>
      <c r="U67" s="7"/>
      <c r="V67" s="7"/>
      <c r="W67" s="8"/>
      <c r="X67" s="8"/>
      <c r="Y67" s="8"/>
      <c r="Z67" s="8"/>
      <c r="AA67" s="8"/>
      <c r="AB67" s="9"/>
      <c r="AC67" s="9"/>
      <c r="AD67" s="9"/>
    </row>
    <row r="68" spans="1:30" ht="17" customHeight="1" x14ac:dyDescent="0.35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7"/>
      <c r="P68" s="8"/>
      <c r="Q68" s="7"/>
      <c r="R68" s="7"/>
      <c r="S68" s="7"/>
      <c r="T68" s="8"/>
      <c r="U68" s="7"/>
      <c r="V68" s="7"/>
      <c r="W68" s="8"/>
      <c r="X68" s="8"/>
      <c r="Y68" s="8"/>
      <c r="Z68" s="8"/>
      <c r="AA68" s="8"/>
      <c r="AB68" s="9"/>
      <c r="AC68" s="9"/>
      <c r="AD68" s="9"/>
    </row>
    <row r="69" spans="1:30" ht="17" customHeight="1" x14ac:dyDescent="0.35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7"/>
      <c r="P69" s="8"/>
      <c r="Q69" s="7"/>
      <c r="R69" s="7"/>
      <c r="S69" s="7"/>
      <c r="T69" s="8"/>
      <c r="U69" s="7"/>
      <c r="V69" s="7"/>
      <c r="W69" s="8"/>
      <c r="X69" s="8"/>
      <c r="Y69" s="8"/>
      <c r="Z69" s="8"/>
      <c r="AA69" s="8"/>
      <c r="AB69" s="9"/>
      <c r="AC69" s="9"/>
      <c r="AD69" s="9"/>
    </row>
    <row r="70" spans="1:30" ht="17" customHeight="1" x14ac:dyDescent="0.35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7"/>
      <c r="P70" s="8"/>
      <c r="Q70" s="7"/>
      <c r="R70" s="7"/>
      <c r="S70" s="7"/>
      <c r="T70" s="8"/>
      <c r="U70" s="7"/>
      <c r="V70" s="7"/>
      <c r="W70" s="8"/>
      <c r="X70" s="8"/>
      <c r="Y70" s="8"/>
      <c r="Z70" s="8"/>
      <c r="AA70" s="8"/>
      <c r="AB70" s="9"/>
      <c r="AC70" s="9"/>
      <c r="AD70" s="9"/>
    </row>
    <row r="71" spans="1:30" ht="17" customHeight="1" x14ac:dyDescent="0.35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7"/>
      <c r="P71" s="8"/>
      <c r="Q71" s="7"/>
      <c r="R71" s="7"/>
      <c r="S71" s="7"/>
      <c r="T71" s="8"/>
      <c r="U71" s="7"/>
      <c r="V71" s="7"/>
      <c r="W71" s="8"/>
      <c r="X71" s="8"/>
      <c r="Y71" s="8"/>
      <c r="Z71" s="8"/>
      <c r="AA71" s="8"/>
      <c r="AB71" s="9"/>
      <c r="AC71" s="9"/>
      <c r="AD71" s="9"/>
    </row>
    <row r="72" spans="1:30" ht="17" customHeight="1" x14ac:dyDescent="0.35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7"/>
      <c r="P72" s="8"/>
      <c r="Q72" s="7"/>
      <c r="R72" s="7"/>
      <c r="S72" s="7"/>
      <c r="T72" s="8"/>
      <c r="U72" s="7"/>
      <c r="V72" s="7"/>
      <c r="W72" s="8"/>
      <c r="X72" s="8"/>
      <c r="Y72" s="8"/>
      <c r="Z72" s="8"/>
      <c r="AA72" s="8"/>
      <c r="AB72" s="9"/>
      <c r="AC72" s="9"/>
      <c r="AD72" s="9"/>
    </row>
    <row r="73" spans="1:30" ht="17" customHeight="1" x14ac:dyDescent="0.35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7"/>
      <c r="P73" s="8"/>
      <c r="Q73" s="7"/>
      <c r="R73" s="7"/>
      <c r="S73" s="7"/>
      <c r="T73" s="8"/>
      <c r="U73" s="7"/>
      <c r="V73" s="7"/>
      <c r="W73" s="8"/>
      <c r="X73" s="8"/>
      <c r="Y73" s="8"/>
      <c r="Z73" s="8"/>
      <c r="AA73" s="8"/>
      <c r="AB73" s="9"/>
      <c r="AC73" s="9"/>
      <c r="AD73" s="9"/>
    </row>
    <row r="74" spans="1:30" ht="17" customHeight="1" x14ac:dyDescent="0.35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7"/>
      <c r="P74" s="8"/>
      <c r="Q74" s="7"/>
      <c r="R74" s="7"/>
      <c r="S74" s="7"/>
      <c r="T74" s="8"/>
      <c r="U74" s="7"/>
      <c r="V74" s="7"/>
      <c r="W74" s="8"/>
      <c r="X74" s="8"/>
      <c r="Y74" s="8"/>
      <c r="Z74" s="8"/>
      <c r="AA74" s="8"/>
      <c r="AB74" s="9"/>
      <c r="AC74" s="9"/>
      <c r="AD74" s="9"/>
    </row>
    <row r="75" spans="1:30" ht="17" customHeight="1" x14ac:dyDescent="0.35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7"/>
      <c r="P75" s="8"/>
      <c r="Q75" s="7"/>
      <c r="R75" s="7"/>
      <c r="S75" s="7"/>
      <c r="T75" s="8"/>
      <c r="U75" s="7"/>
      <c r="V75" s="7"/>
      <c r="W75" s="8"/>
      <c r="X75" s="8"/>
      <c r="Y75" s="8"/>
      <c r="Z75" s="8"/>
      <c r="AA75" s="8"/>
      <c r="AB75" s="9"/>
      <c r="AC75" s="9"/>
      <c r="AD75" s="9"/>
    </row>
    <row r="76" spans="1:30" ht="17" customHeight="1" x14ac:dyDescent="0.35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7"/>
      <c r="P76" s="8"/>
      <c r="Q76" s="7"/>
      <c r="R76" s="7"/>
      <c r="S76" s="7"/>
      <c r="T76" s="8"/>
      <c r="U76" s="7"/>
      <c r="V76" s="7"/>
      <c r="W76" s="8"/>
      <c r="X76" s="8"/>
      <c r="Y76" s="8"/>
      <c r="Z76" s="8"/>
      <c r="AA76" s="8"/>
      <c r="AB76" s="9"/>
      <c r="AC76" s="9"/>
      <c r="AD76" s="9"/>
    </row>
    <row r="77" spans="1:30" ht="17" customHeight="1" x14ac:dyDescent="0.35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7"/>
      <c r="P77" s="8"/>
      <c r="Q77" s="7"/>
      <c r="R77" s="7"/>
      <c r="S77" s="7"/>
      <c r="T77" s="8"/>
      <c r="U77" s="7"/>
      <c r="V77" s="7"/>
      <c r="W77" s="8"/>
      <c r="X77" s="8"/>
      <c r="Y77" s="8"/>
      <c r="Z77" s="8"/>
      <c r="AA77" s="8"/>
      <c r="AB77" s="9"/>
      <c r="AC77" s="9"/>
      <c r="AD77" s="9"/>
    </row>
    <row r="78" spans="1:30" ht="17" customHeight="1" x14ac:dyDescent="0.35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7"/>
      <c r="P78" s="8"/>
      <c r="Q78" s="7"/>
      <c r="R78" s="7"/>
      <c r="S78" s="7"/>
      <c r="T78" s="8"/>
      <c r="U78" s="7"/>
      <c r="V78" s="7"/>
      <c r="W78" s="8"/>
      <c r="X78" s="8"/>
      <c r="Y78" s="8"/>
      <c r="Z78" s="8"/>
      <c r="AA78" s="8"/>
      <c r="AB78" s="9"/>
      <c r="AC78" s="9"/>
      <c r="AD78" s="9"/>
    </row>
    <row r="79" spans="1:30" ht="17" customHeight="1" x14ac:dyDescent="0.35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7"/>
      <c r="P79" s="8"/>
      <c r="Q79" s="7"/>
      <c r="R79" s="7"/>
      <c r="S79" s="7"/>
      <c r="T79" s="8"/>
      <c r="U79" s="7"/>
      <c r="V79" s="7"/>
      <c r="W79" s="8"/>
      <c r="X79" s="8"/>
      <c r="Y79" s="8"/>
      <c r="Z79" s="8"/>
      <c r="AA79" s="8"/>
      <c r="AB79" s="9"/>
      <c r="AC79" s="9"/>
      <c r="AD79" s="9"/>
    </row>
    <row r="80" spans="1:30" ht="17" customHeight="1" x14ac:dyDescent="0.35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7"/>
      <c r="P80" s="8"/>
      <c r="Q80" s="7"/>
      <c r="R80" s="7"/>
      <c r="S80" s="7"/>
      <c r="T80" s="8"/>
      <c r="U80" s="7"/>
      <c r="V80" s="7"/>
      <c r="W80" s="8"/>
      <c r="X80" s="8"/>
      <c r="Y80" s="8"/>
      <c r="Z80" s="8"/>
      <c r="AA80" s="8"/>
      <c r="AB80" s="9"/>
      <c r="AC80" s="9"/>
      <c r="AD80" s="9"/>
    </row>
    <row r="81" spans="1:30" ht="17" customHeight="1" x14ac:dyDescent="0.35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7"/>
      <c r="P81" s="8"/>
      <c r="Q81" s="7"/>
      <c r="R81" s="7"/>
      <c r="S81" s="7"/>
      <c r="T81" s="8"/>
      <c r="U81" s="7"/>
      <c r="V81" s="7"/>
      <c r="W81" s="8"/>
      <c r="X81" s="8"/>
      <c r="Y81" s="8"/>
      <c r="Z81" s="8"/>
      <c r="AA81" s="8"/>
      <c r="AB81" s="9"/>
      <c r="AC81" s="9"/>
      <c r="AD81" s="9"/>
    </row>
    <row r="82" spans="1:30" ht="17" customHeight="1" x14ac:dyDescent="0.35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7"/>
      <c r="P82" s="8"/>
      <c r="Q82" s="7"/>
      <c r="R82" s="7"/>
      <c r="S82" s="7"/>
      <c r="T82" s="8"/>
      <c r="U82" s="7"/>
      <c r="V82" s="7"/>
      <c r="W82" s="8"/>
      <c r="X82" s="8"/>
      <c r="Y82" s="8"/>
      <c r="Z82" s="8"/>
      <c r="AA82" s="8"/>
      <c r="AB82" s="9"/>
      <c r="AC82" s="9"/>
      <c r="AD82" s="9"/>
    </row>
    <row r="83" spans="1:30" ht="17" customHeight="1" x14ac:dyDescent="0.35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7"/>
      <c r="P83" s="8"/>
      <c r="Q83" s="7"/>
      <c r="R83" s="7"/>
      <c r="S83" s="7"/>
      <c r="T83" s="8"/>
      <c r="U83" s="7"/>
      <c r="V83" s="7"/>
      <c r="W83" s="8"/>
      <c r="X83" s="8"/>
      <c r="Y83" s="8"/>
      <c r="Z83" s="8"/>
      <c r="AA83" s="8"/>
      <c r="AB83" s="9"/>
      <c r="AC83" s="9"/>
      <c r="AD83" s="9"/>
    </row>
    <row r="84" spans="1:30" ht="17" customHeight="1" x14ac:dyDescent="0.35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7"/>
      <c r="P84" s="8"/>
      <c r="Q84" s="7"/>
      <c r="R84" s="7"/>
      <c r="S84" s="7"/>
      <c r="T84" s="8"/>
      <c r="U84" s="7"/>
      <c r="V84" s="7"/>
      <c r="W84" s="8"/>
      <c r="X84" s="8"/>
      <c r="Y84" s="8"/>
      <c r="Z84" s="8"/>
      <c r="AA84" s="8"/>
      <c r="AB84" s="9"/>
      <c r="AC84" s="9"/>
      <c r="AD84" s="9"/>
    </row>
    <row r="85" spans="1:30" ht="17" customHeight="1" x14ac:dyDescent="0.35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7"/>
      <c r="P85" s="8"/>
      <c r="Q85" s="7"/>
      <c r="R85" s="7"/>
      <c r="S85" s="7"/>
      <c r="T85" s="8"/>
      <c r="U85" s="7"/>
      <c r="V85" s="7"/>
      <c r="W85" s="8"/>
      <c r="X85" s="8"/>
      <c r="Y85" s="8"/>
      <c r="Z85" s="8"/>
      <c r="AA85" s="8"/>
      <c r="AB85" s="9"/>
      <c r="AC85" s="9"/>
      <c r="AD85" s="9"/>
    </row>
    <row r="86" spans="1:30" ht="17" customHeight="1" x14ac:dyDescent="0.35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7"/>
      <c r="P86" s="8"/>
      <c r="Q86" s="7"/>
      <c r="R86" s="7"/>
      <c r="S86" s="7"/>
      <c r="T86" s="8"/>
      <c r="U86" s="7"/>
      <c r="V86" s="7"/>
      <c r="W86" s="8"/>
      <c r="X86" s="8"/>
      <c r="Y86" s="8"/>
      <c r="Z86" s="8"/>
      <c r="AA86" s="8"/>
      <c r="AB86" s="9"/>
      <c r="AC86" s="9"/>
      <c r="AD86" s="9"/>
    </row>
    <row r="87" spans="1:30" ht="17" customHeight="1" x14ac:dyDescent="0.35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7"/>
      <c r="P87" s="8"/>
      <c r="Q87" s="7"/>
      <c r="R87" s="7"/>
      <c r="S87" s="7"/>
      <c r="T87" s="8"/>
      <c r="U87" s="7"/>
      <c r="V87" s="7"/>
      <c r="W87" s="8"/>
      <c r="X87" s="8"/>
      <c r="Y87" s="8"/>
      <c r="Z87" s="8"/>
      <c r="AA87" s="8"/>
      <c r="AB87" s="9"/>
      <c r="AC87" s="9"/>
      <c r="AD87" s="9"/>
    </row>
    <row r="88" spans="1:30" ht="17" customHeight="1" x14ac:dyDescent="0.35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7"/>
      <c r="P88" s="8"/>
      <c r="Q88" s="7"/>
      <c r="R88" s="7"/>
      <c r="S88" s="7"/>
      <c r="T88" s="8"/>
      <c r="U88" s="7"/>
      <c r="V88" s="7"/>
      <c r="W88" s="8"/>
      <c r="X88" s="8"/>
      <c r="Y88" s="8"/>
      <c r="Z88" s="8"/>
      <c r="AA88" s="8"/>
      <c r="AB88" s="9"/>
      <c r="AC88" s="9"/>
      <c r="AD88" s="9"/>
    </row>
    <row r="89" spans="1:30" ht="17" customHeight="1" x14ac:dyDescent="0.35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7"/>
      <c r="P89" s="8"/>
      <c r="Q89" s="7"/>
      <c r="R89" s="7"/>
      <c r="S89" s="7"/>
      <c r="T89" s="8"/>
      <c r="U89" s="7"/>
      <c r="V89" s="7"/>
      <c r="W89" s="8"/>
      <c r="X89" s="8"/>
      <c r="Y89" s="8"/>
      <c r="Z89" s="8"/>
      <c r="AA89" s="8"/>
      <c r="AB89" s="9"/>
      <c r="AC89" s="9"/>
      <c r="AD89" s="9"/>
    </row>
    <row r="90" spans="1:30" ht="17" customHeight="1" x14ac:dyDescent="0.35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7"/>
      <c r="P90" s="8"/>
      <c r="Q90" s="7"/>
      <c r="R90" s="7"/>
      <c r="S90" s="7"/>
      <c r="T90" s="8"/>
      <c r="U90" s="7"/>
      <c r="V90" s="7"/>
      <c r="W90" s="8"/>
      <c r="X90" s="8"/>
      <c r="Y90" s="8"/>
      <c r="Z90" s="8"/>
      <c r="AA90" s="8"/>
      <c r="AB90" s="9"/>
      <c r="AC90" s="9"/>
      <c r="AD90" s="9"/>
    </row>
    <row r="91" spans="1:30" ht="17" customHeight="1" x14ac:dyDescent="0.35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7"/>
      <c r="P91" s="8"/>
      <c r="Q91" s="7"/>
      <c r="R91" s="7"/>
      <c r="S91" s="7"/>
      <c r="T91" s="8"/>
      <c r="U91" s="7"/>
      <c r="V91" s="7"/>
      <c r="W91" s="8"/>
      <c r="X91" s="8"/>
      <c r="Y91" s="8"/>
      <c r="Z91" s="8"/>
      <c r="AA91" s="8"/>
      <c r="AB91" s="9"/>
      <c r="AC91" s="9"/>
      <c r="AD91" s="9"/>
    </row>
    <row r="92" spans="1:30" ht="17" customHeight="1" x14ac:dyDescent="0.35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7"/>
      <c r="P92" s="8"/>
      <c r="Q92" s="7"/>
      <c r="R92" s="7"/>
      <c r="S92" s="7"/>
      <c r="T92" s="8"/>
      <c r="U92" s="7"/>
      <c r="V92" s="7"/>
      <c r="W92" s="8"/>
      <c r="X92" s="8"/>
      <c r="Y92" s="8"/>
      <c r="Z92" s="8"/>
      <c r="AA92" s="8"/>
      <c r="AB92" s="9"/>
      <c r="AC92" s="9"/>
      <c r="AD92" s="9"/>
    </row>
    <row r="93" spans="1:30" ht="17" customHeight="1" x14ac:dyDescent="0.35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7"/>
      <c r="P93" s="8"/>
      <c r="Q93" s="7"/>
      <c r="R93" s="7"/>
      <c r="S93" s="7"/>
      <c r="T93" s="8"/>
      <c r="U93" s="7"/>
      <c r="V93" s="7"/>
      <c r="W93" s="8"/>
      <c r="X93" s="8"/>
      <c r="Y93" s="8"/>
      <c r="Z93" s="8"/>
      <c r="AA93" s="8"/>
      <c r="AB93" s="9"/>
      <c r="AC93" s="9"/>
      <c r="AD93" s="9"/>
    </row>
    <row r="94" spans="1:30" ht="17" customHeight="1" x14ac:dyDescent="0.35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7"/>
      <c r="P94" s="8"/>
      <c r="Q94" s="7"/>
      <c r="R94" s="7"/>
      <c r="S94" s="7"/>
      <c r="T94" s="8"/>
      <c r="U94" s="7"/>
      <c r="V94" s="7"/>
      <c r="W94" s="8"/>
      <c r="X94" s="8"/>
      <c r="Y94" s="8"/>
      <c r="Z94" s="8"/>
      <c r="AA94" s="8"/>
      <c r="AB94" s="9"/>
      <c r="AC94" s="9"/>
      <c r="AD94" s="9"/>
    </row>
    <row r="95" spans="1:30" ht="17" customHeight="1" x14ac:dyDescent="0.35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7"/>
      <c r="P95" s="8"/>
      <c r="Q95" s="7"/>
      <c r="R95" s="7"/>
      <c r="S95" s="7"/>
      <c r="T95" s="8"/>
      <c r="U95" s="7"/>
      <c r="V95" s="7"/>
      <c r="W95" s="8"/>
      <c r="X95" s="8"/>
      <c r="Y95" s="8"/>
      <c r="Z95" s="8"/>
      <c r="AA95" s="8"/>
      <c r="AB95" s="9"/>
      <c r="AC95" s="9"/>
      <c r="AD95" s="9"/>
    </row>
    <row r="96" spans="1:30" ht="17" customHeight="1" x14ac:dyDescent="0.35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7"/>
      <c r="P96" s="8"/>
      <c r="Q96" s="7"/>
      <c r="R96" s="7"/>
      <c r="S96" s="7"/>
      <c r="T96" s="8"/>
      <c r="U96" s="7"/>
      <c r="V96" s="7"/>
      <c r="W96" s="8"/>
      <c r="X96" s="8"/>
      <c r="Y96" s="8"/>
      <c r="Z96" s="8"/>
      <c r="AA96" s="8"/>
      <c r="AB96" s="9"/>
      <c r="AC96" s="9"/>
      <c r="AD96" s="9"/>
    </row>
    <row r="97" spans="1:30" ht="17" customHeight="1" x14ac:dyDescent="0.35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7"/>
      <c r="P97" s="8"/>
      <c r="Q97" s="7"/>
      <c r="R97" s="7"/>
      <c r="S97" s="7"/>
      <c r="T97" s="8"/>
      <c r="U97" s="7"/>
      <c r="V97" s="7"/>
      <c r="W97" s="8"/>
      <c r="X97" s="8"/>
      <c r="Y97" s="8"/>
      <c r="Z97" s="8"/>
      <c r="AA97" s="8"/>
      <c r="AB97" s="9"/>
      <c r="AC97" s="9"/>
      <c r="AD97" s="9"/>
    </row>
    <row r="98" spans="1:30" ht="17" customHeight="1" x14ac:dyDescent="0.35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7"/>
      <c r="P98" s="8"/>
      <c r="Q98" s="7"/>
      <c r="R98" s="7"/>
      <c r="S98" s="7"/>
      <c r="T98" s="8"/>
      <c r="U98" s="7"/>
      <c r="V98" s="7"/>
      <c r="W98" s="8"/>
      <c r="X98" s="8"/>
      <c r="Y98" s="8"/>
      <c r="Z98" s="8"/>
      <c r="AA98" s="8"/>
      <c r="AB98" s="9"/>
      <c r="AC98" s="9"/>
      <c r="AD98" s="9"/>
    </row>
    <row r="99" spans="1:30" ht="17" customHeight="1" x14ac:dyDescent="0.35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7"/>
      <c r="P99" s="8"/>
      <c r="Q99" s="7"/>
      <c r="R99" s="7"/>
      <c r="S99" s="7"/>
      <c r="T99" s="8"/>
      <c r="U99" s="7"/>
      <c r="V99" s="7"/>
      <c r="W99" s="8"/>
      <c r="X99" s="8"/>
      <c r="Y99" s="8"/>
      <c r="Z99" s="8"/>
      <c r="AA99" s="8"/>
      <c r="AB99" s="9"/>
      <c r="AC99" s="9"/>
      <c r="AD99" s="9"/>
    </row>
    <row r="100" spans="1:30" ht="17" customHeight="1" x14ac:dyDescent="0.35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7"/>
      <c r="P100" s="8"/>
      <c r="Q100" s="7"/>
      <c r="R100" s="7"/>
      <c r="S100" s="7"/>
      <c r="T100" s="8"/>
      <c r="U100" s="7"/>
      <c r="V100" s="7"/>
      <c r="W100" s="8"/>
      <c r="X100" s="8"/>
      <c r="Y100" s="8"/>
      <c r="Z100" s="8"/>
      <c r="AA100" s="8"/>
      <c r="AB100" s="9"/>
      <c r="AC100" s="9"/>
      <c r="AD100" s="9"/>
    </row>
    <row r="101" spans="1:30" ht="17" customHeight="1" x14ac:dyDescent="0.35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7"/>
      <c r="P101" s="8"/>
      <c r="Q101" s="7"/>
      <c r="R101" s="7"/>
      <c r="S101" s="7"/>
      <c r="T101" s="8"/>
      <c r="U101" s="7"/>
      <c r="V101" s="7"/>
      <c r="W101" s="8"/>
      <c r="X101" s="8"/>
      <c r="Y101" s="8"/>
      <c r="Z101" s="8"/>
      <c r="AA101" s="8"/>
      <c r="AB101" s="9"/>
      <c r="AC101" s="9"/>
      <c r="AD101" s="9"/>
    </row>
    <row r="102" spans="1:30" ht="17" customHeight="1" x14ac:dyDescent="0.35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7"/>
      <c r="P102" s="8"/>
      <c r="Q102" s="7"/>
      <c r="R102" s="7"/>
      <c r="S102" s="7"/>
      <c r="T102" s="8"/>
      <c r="U102" s="7"/>
      <c r="V102" s="7"/>
      <c r="W102" s="8"/>
      <c r="X102" s="8"/>
      <c r="Y102" s="8"/>
      <c r="Z102" s="8"/>
      <c r="AA102" s="8"/>
      <c r="AB102" s="9"/>
      <c r="AC102" s="9"/>
      <c r="AD102" s="9"/>
    </row>
    <row r="103" spans="1:30" ht="17" customHeight="1" x14ac:dyDescent="0.35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7"/>
      <c r="P103" s="8"/>
      <c r="Q103" s="7"/>
      <c r="R103" s="7"/>
      <c r="S103" s="7"/>
      <c r="T103" s="8"/>
      <c r="U103" s="7"/>
      <c r="V103" s="7"/>
      <c r="W103" s="8"/>
      <c r="X103" s="8"/>
      <c r="Y103" s="8"/>
      <c r="Z103" s="8"/>
      <c r="AA103" s="8"/>
      <c r="AB103" s="9"/>
      <c r="AC103" s="9"/>
      <c r="AD103" s="9"/>
    </row>
    <row r="104" spans="1:30" ht="17" customHeight="1" x14ac:dyDescent="0.35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7"/>
      <c r="P104" s="8"/>
      <c r="Q104" s="7"/>
      <c r="R104" s="7"/>
      <c r="S104" s="7"/>
      <c r="T104" s="8"/>
      <c r="U104" s="7"/>
      <c r="V104" s="7"/>
      <c r="W104" s="8"/>
      <c r="X104" s="8"/>
      <c r="Y104" s="8"/>
      <c r="Z104" s="8"/>
      <c r="AA104" s="8"/>
      <c r="AB104" s="9"/>
      <c r="AC104" s="9"/>
      <c r="AD104" s="9"/>
    </row>
    <row r="105" spans="1:30" ht="17" customHeight="1" x14ac:dyDescent="0.35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7"/>
      <c r="P105" s="8"/>
      <c r="Q105" s="7"/>
      <c r="R105" s="7"/>
      <c r="S105" s="7"/>
      <c r="T105" s="8"/>
      <c r="U105" s="7"/>
      <c r="V105" s="7"/>
      <c r="W105" s="8"/>
      <c r="X105" s="8"/>
      <c r="Y105" s="8"/>
      <c r="Z105" s="8"/>
      <c r="AA105" s="8"/>
      <c r="AB105" s="9"/>
      <c r="AC105" s="9"/>
      <c r="AD105" s="9"/>
    </row>
    <row r="106" spans="1:30" ht="17" customHeight="1" x14ac:dyDescent="0.35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7"/>
      <c r="P106" s="8"/>
      <c r="Q106" s="7"/>
      <c r="R106" s="7"/>
      <c r="S106" s="7"/>
      <c r="T106" s="8"/>
      <c r="U106" s="7"/>
      <c r="V106" s="7"/>
      <c r="W106" s="8"/>
      <c r="X106" s="8"/>
      <c r="Y106" s="8"/>
      <c r="Z106" s="8"/>
      <c r="AA106" s="8"/>
      <c r="AB106" s="9"/>
      <c r="AC106" s="9"/>
      <c r="AD106" s="9"/>
    </row>
    <row r="107" spans="1:30" ht="17" customHeight="1" x14ac:dyDescent="0.35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7"/>
      <c r="P107" s="8"/>
      <c r="Q107" s="7"/>
      <c r="R107" s="7"/>
      <c r="S107" s="7"/>
      <c r="T107" s="8"/>
      <c r="U107" s="7"/>
      <c r="V107" s="7"/>
      <c r="W107" s="8"/>
      <c r="X107" s="8"/>
      <c r="Y107" s="8"/>
      <c r="Z107" s="8"/>
      <c r="AA107" s="8"/>
      <c r="AB107" s="9"/>
      <c r="AC107" s="9"/>
      <c r="AD107" s="9"/>
    </row>
    <row r="108" spans="1:30" ht="17" customHeight="1" x14ac:dyDescent="0.35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7"/>
      <c r="P108" s="8"/>
      <c r="Q108" s="7"/>
      <c r="R108" s="7"/>
      <c r="S108" s="7"/>
      <c r="T108" s="8"/>
      <c r="U108" s="7"/>
      <c r="V108" s="7"/>
      <c r="W108" s="8"/>
      <c r="X108" s="8"/>
      <c r="Y108" s="8"/>
      <c r="Z108" s="8"/>
      <c r="AA108" s="8"/>
      <c r="AB108" s="9"/>
      <c r="AC108" s="9"/>
      <c r="AD108" s="9"/>
    </row>
    <row r="109" spans="1:30" ht="17" customHeight="1" x14ac:dyDescent="0.35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7"/>
      <c r="P109" s="8"/>
      <c r="Q109" s="7"/>
      <c r="R109" s="7"/>
      <c r="S109" s="7"/>
      <c r="T109" s="8"/>
      <c r="U109" s="7"/>
      <c r="V109" s="7"/>
      <c r="W109" s="8"/>
      <c r="X109" s="8"/>
      <c r="Y109" s="8"/>
      <c r="Z109" s="8"/>
      <c r="AA109" s="8"/>
      <c r="AB109" s="9"/>
      <c r="AC109" s="9"/>
      <c r="AD109" s="9"/>
    </row>
    <row r="110" spans="1:30" ht="17" customHeight="1" x14ac:dyDescent="0.35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7"/>
      <c r="P110" s="8"/>
      <c r="Q110" s="7"/>
      <c r="R110" s="7"/>
      <c r="S110" s="7"/>
      <c r="T110" s="8"/>
      <c r="U110" s="7"/>
      <c r="V110" s="7"/>
      <c r="W110" s="8"/>
      <c r="X110" s="8"/>
      <c r="Y110" s="8"/>
      <c r="Z110" s="8"/>
      <c r="AA110" s="8"/>
      <c r="AB110" s="9"/>
      <c r="AC110" s="9"/>
      <c r="AD110" s="9"/>
    </row>
    <row r="111" spans="1:30" ht="17" customHeight="1" x14ac:dyDescent="0.35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7"/>
      <c r="P111" s="8"/>
      <c r="Q111" s="7"/>
      <c r="R111" s="7"/>
      <c r="S111" s="7"/>
      <c r="T111" s="8"/>
      <c r="U111" s="7"/>
      <c r="V111" s="7"/>
      <c r="W111" s="8"/>
      <c r="X111" s="8"/>
      <c r="Y111" s="8"/>
      <c r="Z111" s="8"/>
      <c r="AA111" s="8"/>
      <c r="AB111" s="9"/>
      <c r="AC111" s="9"/>
      <c r="AD111" s="9"/>
    </row>
    <row r="112" spans="1:30" ht="17" customHeight="1" x14ac:dyDescent="0.35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7"/>
      <c r="P112" s="8"/>
      <c r="Q112" s="7"/>
      <c r="R112" s="7"/>
      <c r="S112" s="7"/>
      <c r="T112" s="8"/>
      <c r="U112" s="7"/>
      <c r="V112" s="7"/>
      <c r="W112" s="8"/>
      <c r="X112" s="8"/>
      <c r="Y112" s="8"/>
      <c r="Z112" s="8"/>
      <c r="AA112" s="8"/>
      <c r="AB112" s="9"/>
      <c r="AC112" s="9"/>
      <c r="AD112" s="9"/>
    </row>
    <row r="113" spans="1:30" ht="17" customHeight="1" x14ac:dyDescent="0.35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7"/>
      <c r="P113" s="8"/>
      <c r="Q113" s="7"/>
      <c r="R113" s="7"/>
      <c r="S113" s="7"/>
      <c r="T113" s="8"/>
      <c r="U113" s="7"/>
      <c r="V113" s="7"/>
      <c r="W113" s="8"/>
      <c r="X113" s="8"/>
      <c r="Y113" s="8"/>
      <c r="Z113" s="8"/>
      <c r="AA113" s="8"/>
      <c r="AB113" s="9"/>
      <c r="AC113" s="9"/>
      <c r="AD113" s="9"/>
    </row>
    <row r="114" spans="1:30" ht="17" customHeight="1" x14ac:dyDescent="0.35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7"/>
      <c r="P114" s="8"/>
      <c r="Q114" s="7"/>
      <c r="R114" s="7"/>
      <c r="S114" s="7"/>
      <c r="T114" s="8"/>
      <c r="U114" s="7"/>
      <c r="V114" s="7"/>
      <c r="W114" s="8"/>
      <c r="X114" s="8"/>
      <c r="Y114" s="8"/>
      <c r="Z114" s="8"/>
      <c r="AA114" s="8"/>
      <c r="AB114" s="9"/>
      <c r="AC114" s="9"/>
      <c r="AD114" s="9"/>
    </row>
    <row r="115" spans="1:30" ht="17" customHeight="1" x14ac:dyDescent="0.35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7"/>
      <c r="P115" s="8"/>
      <c r="Q115" s="7"/>
      <c r="R115" s="7"/>
      <c r="S115" s="7"/>
      <c r="T115" s="8"/>
      <c r="U115" s="7"/>
      <c r="V115" s="7"/>
      <c r="W115" s="8"/>
      <c r="X115" s="8"/>
      <c r="Y115" s="8"/>
      <c r="Z115" s="8"/>
      <c r="AA115" s="8"/>
      <c r="AB115" s="9"/>
      <c r="AC115" s="9"/>
      <c r="AD115" s="9"/>
    </row>
    <row r="116" spans="1:30" ht="17" customHeight="1" x14ac:dyDescent="0.35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7"/>
      <c r="P116" s="8"/>
      <c r="Q116" s="7"/>
      <c r="R116" s="7"/>
      <c r="S116" s="7"/>
      <c r="T116" s="8"/>
      <c r="U116" s="7"/>
      <c r="V116" s="7"/>
      <c r="W116" s="8"/>
      <c r="X116" s="8"/>
      <c r="Y116" s="8"/>
      <c r="Z116" s="8"/>
      <c r="AA116" s="8"/>
      <c r="AB116" s="9"/>
      <c r="AC116" s="9"/>
      <c r="AD116" s="9"/>
    </row>
    <row r="117" spans="1:30" ht="17" customHeight="1" x14ac:dyDescent="0.35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7"/>
      <c r="P117" s="8"/>
      <c r="Q117" s="7"/>
      <c r="R117" s="7"/>
      <c r="S117" s="7"/>
      <c r="T117" s="8"/>
      <c r="U117" s="7"/>
      <c r="V117" s="7"/>
      <c r="W117" s="8"/>
      <c r="X117" s="8"/>
      <c r="Y117" s="8"/>
      <c r="Z117" s="8"/>
      <c r="AA117" s="8"/>
      <c r="AB117" s="9"/>
      <c r="AC117" s="9"/>
      <c r="AD117" s="9"/>
    </row>
    <row r="118" spans="1:30" ht="17" customHeight="1" x14ac:dyDescent="0.35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7"/>
      <c r="P118" s="8"/>
      <c r="Q118" s="7"/>
      <c r="R118" s="7"/>
      <c r="S118" s="7"/>
      <c r="T118" s="8"/>
      <c r="U118" s="7"/>
      <c r="V118" s="7"/>
      <c r="W118" s="8"/>
      <c r="X118" s="8"/>
      <c r="Y118" s="8"/>
      <c r="Z118" s="8"/>
      <c r="AA118" s="8"/>
      <c r="AB118" s="9"/>
      <c r="AC118" s="9"/>
      <c r="AD118" s="9"/>
    </row>
    <row r="119" spans="1:30" ht="17" customHeight="1" x14ac:dyDescent="0.35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7"/>
      <c r="P119" s="8"/>
      <c r="Q119" s="7"/>
      <c r="R119" s="7"/>
      <c r="S119" s="7"/>
      <c r="T119" s="8"/>
      <c r="U119" s="7"/>
      <c r="V119" s="7"/>
      <c r="W119" s="8"/>
      <c r="X119" s="8"/>
      <c r="Y119" s="8"/>
      <c r="Z119" s="8"/>
      <c r="AA119" s="8"/>
      <c r="AB119" s="9"/>
      <c r="AC119" s="9"/>
      <c r="AD119" s="9"/>
    </row>
    <row r="120" spans="1:30" ht="17" customHeight="1" x14ac:dyDescent="0.35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7"/>
      <c r="P120" s="8"/>
      <c r="Q120" s="7"/>
      <c r="R120" s="7"/>
      <c r="S120" s="7"/>
      <c r="T120" s="8"/>
      <c r="U120" s="7"/>
      <c r="V120" s="7"/>
      <c r="W120" s="8"/>
      <c r="X120" s="8"/>
      <c r="Y120" s="8"/>
      <c r="Z120" s="8"/>
      <c r="AA120" s="8"/>
      <c r="AB120" s="9"/>
      <c r="AC120" s="9"/>
      <c r="AD120" s="9"/>
    </row>
    <row r="121" spans="1:30" ht="17" customHeight="1" x14ac:dyDescent="0.35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7"/>
      <c r="P121" s="8"/>
      <c r="Q121" s="7"/>
      <c r="R121" s="7"/>
      <c r="S121" s="7"/>
      <c r="T121" s="8"/>
      <c r="U121" s="7"/>
      <c r="V121" s="7"/>
      <c r="W121" s="8"/>
      <c r="X121" s="8"/>
      <c r="Y121" s="8"/>
      <c r="Z121" s="8"/>
      <c r="AA121" s="8"/>
      <c r="AB121" s="9"/>
      <c r="AC121" s="9"/>
      <c r="AD121" s="9"/>
    </row>
    <row r="122" spans="1:30" ht="17" customHeight="1" x14ac:dyDescent="0.35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7"/>
      <c r="P122" s="8"/>
      <c r="Q122" s="7"/>
      <c r="R122" s="7"/>
      <c r="S122" s="7"/>
      <c r="T122" s="8"/>
      <c r="U122" s="7"/>
      <c r="V122" s="7"/>
      <c r="W122" s="8"/>
      <c r="X122" s="8"/>
      <c r="Y122" s="8"/>
      <c r="Z122" s="8"/>
      <c r="AA122" s="8"/>
      <c r="AB122" s="9"/>
      <c r="AC122" s="9"/>
      <c r="AD122" s="9"/>
    </row>
    <row r="123" spans="1:30" ht="17" customHeight="1" x14ac:dyDescent="0.35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7"/>
      <c r="P123" s="8"/>
      <c r="Q123" s="7"/>
      <c r="R123" s="7"/>
      <c r="S123" s="7"/>
      <c r="T123" s="8"/>
      <c r="U123" s="7"/>
      <c r="V123" s="7"/>
      <c r="W123" s="8"/>
      <c r="X123" s="8"/>
      <c r="Y123" s="8"/>
      <c r="Z123" s="8"/>
      <c r="AA123" s="8"/>
      <c r="AB123" s="9"/>
      <c r="AC123" s="9"/>
      <c r="AD123" s="9"/>
    </row>
    <row r="124" spans="1:30" ht="17" customHeight="1" x14ac:dyDescent="0.35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7"/>
      <c r="P124" s="8"/>
      <c r="Q124" s="7"/>
      <c r="R124" s="7"/>
      <c r="S124" s="7"/>
      <c r="T124" s="8"/>
      <c r="U124" s="7"/>
      <c r="V124" s="7"/>
      <c r="W124" s="8"/>
      <c r="X124" s="8"/>
      <c r="Y124" s="8"/>
      <c r="Z124" s="8"/>
      <c r="AA124" s="8"/>
      <c r="AB124" s="9"/>
      <c r="AC124" s="9"/>
      <c r="AD124" s="9"/>
    </row>
    <row r="125" spans="1:30" ht="17" customHeight="1" x14ac:dyDescent="0.35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7"/>
      <c r="P125" s="8"/>
      <c r="Q125" s="7"/>
      <c r="R125" s="7"/>
      <c r="S125" s="7"/>
      <c r="T125" s="8"/>
      <c r="U125" s="7"/>
      <c r="V125" s="7"/>
      <c r="W125" s="8"/>
      <c r="X125" s="8"/>
      <c r="Y125" s="8"/>
      <c r="Z125" s="8"/>
      <c r="AA125" s="8"/>
      <c r="AB125" s="9"/>
      <c r="AC125" s="9"/>
      <c r="AD125" s="9"/>
    </row>
    <row r="126" spans="1:30" ht="17" customHeight="1" x14ac:dyDescent="0.35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7"/>
      <c r="P126" s="8"/>
      <c r="Q126" s="7"/>
      <c r="R126" s="7"/>
      <c r="S126" s="7"/>
      <c r="T126" s="8"/>
      <c r="U126" s="7"/>
      <c r="V126" s="7"/>
      <c r="W126" s="8"/>
      <c r="X126" s="8"/>
      <c r="Y126" s="8"/>
      <c r="Z126" s="8"/>
      <c r="AA126" s="8"/>
      <c r="AB126" s="9"/>
      <c r="AC126" s="9"/>
      <c r="AD126" s="9"/>
    </row>
    <row r="127" spans="1:30" ht="17" customHeight="1" x14ac:dyDescent="0.35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7"/>
      <c r="P127" s="8"/>
      <c r="Q127" s="7"/>
      <c r="R127" s="7"/>
      <c r="S127" s="7"/>
      <c r="T127" s="8"/>
      <c r="U127" s="7"/>
      <c r="V127" s="7"/>
      <c r="W127" s="8"/>
      <c r="X127" s="8"/>
      <c r="Y127" s="8"/>
      <c r="Z127" s="8"/>
      <c r="AA127" s="8"/>
      <c r="AB127" s="9"/>
      <c r="AC127" s="9"/>
      <c r="AD127" s="9"/>
    </row>
    <row r="128" spans="1:30" ht="17" customHeight="1" x14ac:dyDescent="0.35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7"/>
      <c r="P128" s="8"/>
      <c r="Q128" s="7"/>
      <c r="R128" s="7"/>
      <c r="S128" s="7"/>
      <c r="T128" s="8"/>
      <c r="U128" s="7"/>
      <c r="V128" s="7"/>
      <c r="W128" s="8"/>
      <c r="X128" s="8"/>
      <c r="Y128" s="8"/>
      <c r="Z128" s="8"/>
      <c r="AA128" s="8"/>
      <c r="AB128" s="9"/>
      <c r="AC128" s="9"/>
      <c r="AD128" s="9"/>
    </row>
    <row r="129" spans="1:30" ht="17" customHeight="1" x14ac:dyDescent="0.35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7"/>
      <c r="P129" s="8"/>
      <c r="Q129" s="7"/>
      <c r="R129" s="7"/>
      <c r="S129" s="7"/>
      <c r="T129" s="8"/>
      <c r="U129" s="7"/>
      <c r="V129" s="7"/>
      <c r="W129" s="8"/>
      <c r="X129" s="8"/>
      <c r="Y129" s="8"/>
      <c r="Z129" s="8"/>
      <c r="AA129" s="8"/>
      <c r="AB129" s="9"/>
      <c r="AC129" s="9"/>
      <c r="AD129" s="9"/>
    </row>
    <row r="130" spans="1:30" ht="17" customHeight="1" x14ac:dyDescent="0.35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7"/>
      <c r="P130" s="8"/>
      <c r="Q130" s="7"/>
      <c r="R130" s="7"/>
      <c r="S130" s="7"/>
      <c r="T130" s="8"/>
      <c r="U130" s="7"/>
      <c r="V130" s="7"/>
      <c r="W130" s="8"/>
      <c r="X130" s="8"/>
      <c r="Y130" s="8"/>
      <c r="Z130" s="8"/>
      <c r="AA130" s="8"/>
      <c r="AB130" s="9"/>
      <c r="AC130" s="9"/>
      <c r="AD130" s="9"/>
    </row>
    <row r="131" spans="1:30" ht="17" customHeight="1" x14ac:dyDescent="0.35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7"/>
      <c r="P131" s="8"/>
      <c r="Q131" s="7"/>
      <c r="R131" s="7"/>
      <c r="S131" s="7"/>
      <c r="T131" s="8"/>
      <c r="U131" s="7"/>
      <c r="V131" s="7"/>
      <c r="W131" s="8"/>
      <c r="X131" s="8"/>
      <c r="Y131" s="8"/>
      <c r="Z131" s="8"/>
      <c r="AA131" s="8"/>
      <c r="AB131" s="9"/>
      <c r="AC131" s="9"/>
      <c r="AD131" s="9"/>
    </row>
    <row r="132" spans="1:30" ht="17" customHeight="1" x14ac:dyDescent="0.35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7"/>
      <c r="P132" s="8"/>
      <c r="Q132" s="7"/>
      <c r="R132" s="7"/>
      <c r="S132" s="7"/>
      <c r="T132" s="8"/>
      <c r="U132" s="7"/>
      <c r="V132" s="7"/>
      <c r="W132" s="8"/>
      <c r="X132" s="8"/>
      <c r="Y132" s="8"/>
      <c r="Z132" s="8"/>
      <c r="AA132" s="8"/>
      <c r="AB132" s="9"/>
      <c r="AC132" s="9"/>
      <c r="AD132" s="9"/>
    </row>
    <row r="133" spans="1:30" ht="17" customHeight="1" x14ac:dyDescent="0.35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7"/>
      <c r="P133" s="8"/>
      <c r="Q133" s="7"/>
      <c r="R133" s="7"/>
      <c r="S133" s="7"/>
      <c r="T133" s="8"/>
      <c r="U133" s="7"/>
      <c r="V133" s="7"/>
      <c r="W133" s="8"/>
      <c r="X133" s="8"/>
      <c r="Y133" s="8"/>
      <c r="Z133" s="8"/>
      <c r="AA133" s="8"/>
      <c r="AB133" s="9"/>
      <c r="AC133" s="9"/>
      <c r="AD133" s="9"/>
    </row>
    <row r="134" spans="1:30" ht="17" customHeight="1" x14ac:dyDescent="0.35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7"/>
      <c r="P134" s="8"/>
      <c r="Q134" s="7"/>
      <c r="R134" s="7"/>
      <c r="S134" s="7"/>
      <c r="T134" s="8"/>
      <c r="U134" s="7"/>
      <c r="V134" s="7"/>
      <c r="W134" s="8"/>
      <c r="X134" s="8"/>
      <c r="Y134" s="8"/>
      <c r="Z134" s="8"/>
      <c r="AA134" s="8"/>
      <c r="AB134" s="9"/>
      <c r="AC134" s="9"/>
      <c r="AD134" s="9"/>
    </row>
    <row r="135" spans="1:30" ht="17" customHeight="1" x14ac:dyDescent="0.35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7"/>
      <c r="P135" s="8"/>
      <c r="Q135" s="7"/>
      <c r="R135" s="7"/>
      <c r="S135" s="7"/>
      <c r="T135" s="8"/>
      <c r="U135" s="7"/>
      <c r="V135" s="7"/>
      <c r="W135" s="8"/>
      <c r="X135" s="8"/>
      <c r="Y135" s="8"/>
      <c r="Z135" s="8"/>
      <c r="AA135" s="8"/>
      <c r="AB135" s="9"/>
      <c r="AC135" s="9"/>
      <c r="AD135" s="9"/>
    </row>
    <row r="136" spans="1:30" ht="17" customHeight="1" x14ac:dyDescent="0.35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7"/>
      <c r="P136" s="8"/>
      <c r="Q136" s="7"/>
      <c r="R136" s="7"/>
      <c r="S136" s="7"/>
      <c r="T136" s="8"/>
      <c r="U136" s="7"/>
      <c r="V136" s="7"/>
      <c r="W136" s="8"/>
      <c r="X136" s="8"/>
      <c r="Y136" s="8"/>
      <c r="Z136" s="8"/>
      <c r="AA136" s="8"/>
      <c r="AB136" s="9"/>
      <c r="AC136" s="9"/>
      <c r="AD136" s="9"/>
    </row>
    <row r="137" spans="1:30" ht="17" customHeight="1" x14ac:dyDescent="0.35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7"/>
      <c r="P137" s="8"/>
      <c r="Q137" s="7"/>
      <c r="R137" s="7"/>
      <c r="S137" s="7"/>
      <c r="T137" s="8"/>
      <c r="U137" s="7"/>
      <c r="V137" s="7"/>
      <c r="W137" s="8"/>
      <c r="X137" s="8"/>
      <c r="Y137" s="8"/>
      <c r="Z137" s="8"/>
      <c r="AA137" s="8"/>
      <c r="AB137" s="9"/>
      <c r="AC137" s="9"/>
      <c r="AD137" s="9"/>
    </row>
    <row r="138" spans="1:30" ht="17" customHeight="1" x14ac:dyDescent="0.35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7"/>
      <c r="P138" s="8"/>
      <c r="Q138" s="7"/>
      <c r="R138" s="7"/>
      <c r="S138" s="7"/>
      <c r="T138" s="8"/>
      <c r="U138" s="7"/>
      <c r="V138" s="7"/>
      <c r="W138" s="8"/>
      <c r="X138" s="8"/>
      <c r="Y138" s="8"/>
      <c r="Z138" s="8"/>
      <c r="AA138" s="8"/>
      <c r="AB138" s="9"/>
      <c r="AC138" s="9"/>
      <c r="AD138" s="9"/>
    </row>
    <row r="139" spans="1:30" ht="17" customHeight="1" x14ac:dyDescent="0.35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7"/>
      <c r="P139" s="8"/>
      <c r="Q139" s="7"/>
      <c r="R139" s="7"/>
      <c r="S139" s="7"/>
      <c r="T139" s="8"/>
      <c r="U139" s="7"/>
      <c r="V139" s="7"/>
      <c r="W139" s="8"/>
      <c r="X139" s="8"/>
      <c r="Y139" s="8"/>
      <c r="Z139" s="8"/>
      <c r="AA139" s="8"/>
      <c r="AB139" s="9"/>
      <c r="AC139" s="9"/>
      <c r="AD139" s="9"/>
    </row>
    <row r="140" spans="1:30" ht="17" customHeight="1" x14ac:dyDescent="0.35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7"/>
      <c r="P140" s="8"/>
      <c r="Q140" s="7"/>
      <c r="R140" s="7"/>
      <c r="S140" s="7"/>
      <c r="T140" s="8"/>
      <c r="U140" s="7"/>
      <c r="V140" s="7"/>
      <c r="W140" s="8"/>
      <c r="X140" s="8"/>
      <c r="Y140" s="8"/>
      <c r="Z140" s="8"/>
      <c r="AA140" s="8"/>
      <c r="AB140" s="9"/>
      <c r="AC140" s="9"/>
      <c r="AD140" s="9"/>
    </row>
    <row r="141" spans="1:30" ht="17" customHeight="1" x14ac:dyDescent="0.35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7"/>
      <c r="P141" s="8"/>
      <c r="Q141" s="7"/>
      <c r="R141" s="7"/>
      <c r="S141" s="7"/>
      <c r="T141" s="8"/>
      <c r="U141" s="7"/>
      <c r="V141" s="7"/>
      <c r="W141" s="8"/>
      <c r="X141" s="8"/>
      <c r="Y141" s="8"/>
      <c r="Z141" s="8"/>
      <c r="AA141" s="8"/>
      <c r="AB141" s="9"/>
      <c r="AC141" s="9"/>
      <c r="AD141" s="9"/>
    </row>
    <row r="142" spans="1:30" ht="17" customHeight="1" x14ac:dyDescent="0.35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7"/>
      <c r="P142" s="8"/>
      <c r="Q142" s="7"/>
      <c r="R142" s="7"/>
      <c r="S142" s="7"/>
      <c r="T142" s="8"/>
      <c r="U142" s="7"/>
      <c r="V142" s="7"/>
      <c r="W142" s="8"/>
      <c r="X142" s="8"/>
      <c r="Y142" s="8"/>
      <c r="Z142" s="8"/>
      <c r="AA142" s="8"/>
      <c r="AB142" s="9"/>
      <c r="AC142" s="9"/>
      <c r="AD142" s="9"/>
    </row>
    <row r="143" spans="1:30" ht="17" customHeight="1" x14ac:dyDescent="0.35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7"/>
      <c r="P143" s="8"/>
      <c r="Q143" s="7"/>
      <c r="R143" s="7"/>
      <c r="S143" s="7"/>
      <c r="T143" s="8"/>
      <c r="U143" s="7"/>
      <c r="V143" s="7"/>
      <c r="W143" s="8"/>
      <c r="X143" s="8"/>
      <c r="Y143" s="8"/>
      <c r="Z143" s="8"/>
      <c r="AA143" s="8"/>
      <c r="AB143" s="9"/>
      <c r="AC143" s="9"/>
      <c r="AD143" s="9"/>
    </row>
    <row r="144" spans="1:30" ht="17" customHeight="1" x14ac:dyDescent="0.35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7"/>
      <c r="P144" s="8"/>
      <c r="Q144" s="7"/>
      <c r="R144" s="7"/>
      <c r="S144" s="7"/>
      <c r="T144" s="8"/>
      <c r="U144" s="7"/>
      <c r="V144" s="7"/>
      <c r="W144" s="8"/>
      <c r="X144" s="8"/>
      <c r="Y144" s="8"/>
      <c r="Z144" s="8"/>
      <c r="AA144" s="8"/>
      <c r="AB144" s="9"/>
      <c r="AC144" s="9"/>
      <c r="AD144" s="9"/>
    </row>
    <row r="145" spans="1:30" ht="17" customHeight="1" x14ac:dyDescent="0.35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7"/>
      <c r="P145" s="8"/>
      <c r="Q145" s="7"/>
      <c r="R145" s="7"/>
      <c r="S145" s="7"/>
      <c r="T145" s="8"/>
      <c r="U145" s="7"/>
      <c r="V145" s="7"/>
      <c r="W145" s="8"/>
      <c r="X145" s="8"/>
      <c r="Y145" s="8"/>
      <c r="Z145" s="8"/>
      <c r="AA145" s="8"/>
      <c r="AB145" s="9"/>
      <c r="AC145" s="9"/>
      <c r="AD145" s="9"/>
    </row>
    <row r="146" spans="1:30" ht="17" customHeight="1" x14ac:dyDescent="0.35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7"/>
      <c r="P146" s="8"/>
      <c r="Q146" s="7"/>
      <c r="R146" s="7"/>
      <c r="S146" s="7"/>
      <c r="T146" s="8"/>
      <c r="U146" s="7"/>
      <c r="V146" s="7"/>
      <c r="W146" s="8"/>
      <c r="X146" s="8"/>
      <c r="Y146" s="8"/>
      <c r="Z146" s="8"/>
      <c r="AA146" s="8"/>
      <c r="AB146" s="9"/>
      <c r="AC146" s="9"/>
      <c r="AD146" s="9"/>
    </row>
    <row r="147" spans="1:30" ht="17" customHeight="1" x14ac:dyDescent="0.35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7"/>
      <c r="P147" s="8"/>
      <c r="Q147" s="7"/>
      <c r="R147" s="7"/>
      <c r="S147" s="7"/>
      <c r="T147" s="8"/>
      <c r="U147" s="7"/>
      <c r="V147" s="7"/>
      <c r="W147" s="8"/>
      <c r="X147" s="8"/>
      <c r="Y147" s="8"/>
      <c r="Z147" s="8"/>
      <c r="AA147" s="8"/>
      <c r="AB147" s="9"/>
      <c r="AC147" s="9"/>
      <c r="AD147" s="9"/>
    </row>
    <row r="148" spans="1:30" ht="17" customHeight="1" x14ac:dyDescent="0.35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7"/>
      <c r="P148" s="8"/>
      <c r="Q148" s="7"/>
      <c r="R148" s="7"/>
      <c r="S148" s="7"/>
      <c r="T148" s="8"/>
      <c r="U148" s="7"/>
      <c r="V148" s="7"/>
      <c r="W148" s="8"/>
      <c r="X148" s="8"/>
      <c r="Y148" s="8"/>
      <c r="Z148" s="8"/>
      <c r="AA148" s="8"/>
      <c r="AB148" s="9"/>
      <c r="AC148" s="9"/>
      <c r="AD148" s="9"/>
    </row>
    <row r="149" spans="1:30" ht="17" customHeight="1" x14ac:dyDescent="0.35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7"/>
      <c r="P149" s="8"/>
      <c r="Q149" s="7"/>
      <c r="R149" s="7"/>
      <c r="S149" s="7"/>
      <c r="T149" s="8"/>
      <c r="U149" s="7"/>
      <c r="V149" s="7"/>
      <c r="W149" s="8"/>
      <c r="X149" s="8"/>
      <c r="Y149" s="8"/>
      <c r="Z149" s="8"/>
      <c r="AA149" s="8"/>
      <c r="AB149" s="9"/>
      <c r="AC149" s="9"/>
      <c r="AD149" s="9"/>
    </row>
    <row r="150" spans="1:30" ht="17" customHeight="1" x14ac:dyDescent="0.35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7"/>
      <c r="P150" s="8"/>
      <c r="Q150" s="7"/>
      <c r="R150" s="7"/>
      <c r="S150" s="7"/>
      <c r="T150" s="8"/>
      <c r="U150" s="7"/>
      <c r="V150" s="7"/>
      <c r="W150" s="8"/>
      <c r="X150" s="8"/>
      <c r="Y150" s="8"/>
      <c r="Z150" s="8"/>
      <c r="AA150" s="8"/>
      <c r="AB150" s="9"/>
      <c r="AC150" s="9"/>
      <c r="AD150" s="9"/>
    </row>
    <row r="151" spans="1:30" ht="17" customHeight="1" x14ac:dyDescent="0.35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7"/>
      <c r="P151" s="8"/>
      <c r="Q151" s="7"/>
      <c r="R151" s="7"/>
      <c r="S151" s="7"/>
      <c r="T151" s="8"/>
      <c r="U151" s="7"/>
      <c r="V151" s="7"/>
      <c r="W151" s="8"/>
      <c r="X151" s="8"/>
      <c r="Y151" s="8"/>
      <c r="Z151" s="8"/>
      <c r="AA151" s="8"/>
      <c r="AB151" s="9"/>
      <c r="AC151" s="9"/>
      <c r="AD151" s="9"/>
    </row>
    <row r="152" spans="1:30" ht="17" customHeight="1" x14ac:dyDescent="0.35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7"/>
      <c r="P152" s="8"/>
      <c r="Q152" s="7"/>
      <c r="R152" s="7"/>
      <c r="S152" s="7"/>
      <c r="T152" s="8"/>
      <c r="U152" s="7"/>
      <c r="V152" s="7"/>
      <c r="W152" s="8"/>
      <c r="X152" s="8"/>
      <c r="Y152" s="8"/>
      <c r="Z152" s="8"/>
      <c r="AA152" s="8"/>
      <c r="AB152" s="9"/>
      <c r="AC152" s="9"/>
      <c r="AD152" s="9"/>
    </row>
    <row r="153" spans="1:30" ht="17" customHeight="1" x14ac:dyDescent="0.35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7"/>
      <c r="P153" s="8"/>
      <c r="Q153" s="7"/>
      <c r="R153" s="7"/>
      <c r="S153" s="7"/>
      <c r="T153" s="8"/>
      <c r="U153" s="7"/>
      <c r="V153" s="7"/>
      <c r="W153" s="8"/>
      <c r="X153" s="8"/>
      <c r="Y153" s="8"/>
      <c r="Z153" s="8"/>
      <c r="AA153" s="8"/>
      <c r="AB153" s="9"/>
      <c r="AC153" s="9"/>
      <c r="AD153" s="9"/>
    </row>
    <row r="154" spans="1:30" ht="17" customHeight="1" x14ac:dyDescent="0.35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7"/>
      <c r="P154" s="8"/>
      <c r="Q154" s="7"/>
      <c r="R154" s="7"/>
      <c r="S154" s="7"/>
      <c r="T154" s="8"/>
      <c r="U154" s="7"/>
      <c r="V154" s="7"/>
      <c r="W154" s="8"/>
      <c r="X154" s="8"/>
      <c r="Y154" s="8"/>
      <c r="Z154" s="8"/>
      <c r="AA154" s="8"/>
      <c r="AB154" s="9"/>
      <c r="AC154" s="9"/>
      <c r="AD154" s="9"/>
    </row>
    <row r="155" spans="1:30" ht="17" customHeight="1" x14ac:dyDescent="0.35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7"/>
      <c r="P155" s="8"/>
      <c r="Q155" s="7"/>
      <c r="R155" s="7"/>
      <c r="S155" s="7"/>
      <c r="T155" s="8"/>
      <c r="U155" s="7"/>
      <c r="V155" s="7"/>
      <c r="W155" s="8"/>
      <c r="X155" s="8"/>
      <c r="Y155" s="8"/>
      <c r="Z155" s="8"/>
      <c r="AA155" s="8"/>
      <c r="AB155" s="9"/>
      <c r="AC155" s="9"/>
      <c r="AD155" s="9"/>
    </row>
    <row r="156" spans="1:30" ht="17" customHeight="1" x14ac:dyDescent="0.35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7"/>
      <c r="P156" s="8"/>
      <c r="Q156" s="7"/>
      <c r="R156" s="7"/>
      <c r="S156" s="7"/>
      <c r="T156" s="8"/>
      <c r="U156" s="7"/>
      <c r="V156" s="7"/>
      <c r="W156" s="8"/>
      <c r="X156" s="8"/>
      <c r="Y156" s="8"/>
      <c r="Z156" s="8"/>
      <c r="AA156" s="8"/>
      <c r="AB156" s="9"/>
      <c r="AC156" s="9"/>
      <c r="AD156" s="9"/>
    </row>
    <row r="157" spans="1:30" ht="17" customHeight="1" x14ac:dyDescent="0.35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7"/>
      <c r="P157" s="8"/>
      <c r="Q157" s="7"/>
      <c r="R157" s="7"/>
      <c r="S157" s="7"/>
      <c r="T157" s="8"/>
      <c r="U157" s="7"/>
      <c r="V157" s="7"/>
      <c r="W157" s="8"/>
      <c r="X157" s="8"/>
      <c r="Y157" s="8"/>
      <c r="Z157" s="8"/>
      <c r="AA157" s="8"/>
      <c r="AB157" s="9"/>
      <c r="AC157" s="9"/>
      <c r="AD157" s="9"/>
    </row>
    <row r="158" spans="1:30" ht="17" customHeight="1" x14ac:dyDescent="0.35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7"/>
      <c r="P158" s="8"/>
      <c r="Q158" s="7"/>
      <c r="R158" s="7"/>
      <c r="S158" s="7"/>
      <c r="T158" s="8"/>
      <c r="U158" s="7"/>
      <c r="V158" s="7"/>
      <c r="W158" s="8"/>
      <c r="X158" s="8"/>
      <c r="Y158" s="8"/>
      <c r="Z158" s="8"/>
      <c r="AA158" s="8"/>
      <c r="AB158" s="9"/>
      <c r="AC158" s="9"/>
      <c r="AD158" s="9"/>
    </row>
    <row r="159" spans="1:30" ht="17" customHeight="1" x14ac:dyDescent="0.35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7"/>
      <c r="P159" s="8"/>
      <c r="Q159" s="7"/>
      <c r="R159" s="7"/>
      <c r="S159" s="7"/>
      <c r="T159" s="8"/>
      <c r="U159" s="7"/>
      <c r="V159" s="7"/>
      <c r="W159" s="8"/>
      <c r="X159" s="8"/>
      <c r="Y159" s="8"/>
      <c r="Z159" s="8"/>
      <c r="AA159" s="8"/>
      <c r="AB159" s="9"/>
      <c r="AC159" s="9"/>
      <c r="AD159" s="9"/>
    </row>
    <row r="160" spans="1:30" ht="17" customHeight="1" x14ac:dyDescent="0.35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7"/>
      <c r="P160" s="8"/>
      <c r="Q160" s="7"/>
      <c r="R160" s="7"/>
      <c r="S160" s="7"/>
      <c r="T160" s="8"/>
      <c r="U160" s="7"/>
      <c r="V160" s="7"/>
      <c r="W160" s="8"/>
      <c r="X160" s="8"/>
      <c r="Y160" s="8"/>
      <c r="Z160" s="8"/>
      <c r="AA160" s="8"/>
      <c r="AB160" s="9"/>
      <c r="AC160" s="9"/>
      <c r="AD160" s="9"/>
    </row>
    <row r="161" spans="1:30" ht="17" customHeight="1" x14ac:dyDescent="0.35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7"/>
      <c r="P161" s="8"/>
      <c r="Q161" s="7"/>
      <c r="R161" s="7"/>
      <c r="S161" s="7"/>
      <c r="T161" s="8"/>
      <c r="U161" s="7"/>
      <c r="V161" s="7"/>
      <c r="W161" s="8"/>
      <c r="X161" s="8"/>
      <c r="Y161" s="8"/>
      <c r="Z161" s="8"/>
      <c r="AA161" s="8"/>
      <c r="AB161" s="9"/>
      <c r="AC161" s="9"/>
      <c r="AD161" s="9"/>
    </row>
    <row r="162" spans="1:30" ht="17" customHeight="1" x14ac:dyDescent="0.35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7"/>
      <c r="P162" s="8"/>
      <c r="Q162" s="7"/>
      <c r="R162" s="7"/>
      <c r="S162" s="7"/>
      <c r="T162" s="8"/>
      <c r="U162" s="7"/>
      <c r="V162" s="7"/>
      <c r="W162" s="8"/>
      <c r="X162" s="8"/>
      <c r="Y162" s="8"/>
      <c r="Z162" s="8"/>
      <c r="AA162" s="8"/>
      <c r="AB162" s="9"/>
      <c r="AC162" s="9"/>
      <c r="AD162" s="9"/>
    </row>
    <row r="163" spans="1:30" ht="17" customHeight="1" x14ac:dyDescent="0.35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7"/>
      <c r="P163" s="8"/>
      <c r="Q163" s="7"/>
      <c r="R163" s="7"/>
      <c r="S163" s="7"/>
      <c r="T163" s="8"/>
      <c r="U163" s="7"/>
      <c r="V163" s="7"/>
      <c r="W163" s="8"/>
      <c r="X163" s="8"/>
      <c r="Y163" s="8"/>
      <c r="Z163" s="8"/>
      <c r="AA163" s="8"/>
      <c r="AB163" s="9"/>
      <c r="AC163" s="9"/>
      <c r="AD163" s="9"/>
    </row>
    <row r="164" spans="1:30" ht="17" customHeight="1" x14ac:dyDescent="0.35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7"/>
      <c r="P164" s="8"/>
      <c r="Q164" s="7"/>
      <c r="R164" s="7"/>
      <c r="S164" s="7"/>
      <c r="T164" s="8"/>
      <c r="U164" s="7"/>
      <c r="V164" s="7"/>
      <c r="W164" s="8"/>
      <c r="X164" s="8"/>
      <c r="Y164" s="8"/>
      <c r="Z164" s="8"/>
      <c r="AA164" s="8"/>
      <c r="AB164" s="9"/>
      <c r="AC164" s="9"/>
      <c r="AD164" s="9"/>
    </row>
    <row r="165" spans="1:30" ht="17" customHeight="1" x14ac:dyDescent="0.35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7"/>
      <c r="P165" s="8"/>
      <c r="Q165" s="7"/>
      <c r="R165" s="7"/>
      <c r="S165" s="7"/>
      <c r="T165" s="8"/>
      <c r="U165" s="7"/>
      <c r="V165" s="7"/>
      <c r="W165" s="8"/>
      <c r="X165" s="8"/>
      <c r="Y165" s="8"/>
      <c r="Z165" s="8"/>
      <c r="AA165" s="8"/>
      <c r="AB165" s="9"/>
      <c r="AC165" s="9"/>
      <c r="AD165" s="9"/>
    </row>
    <row r="166" spans="1:30" ht="17" customHeight="1" x14ac:dyDescent="0.35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7"/>
      <c r="P166" s="8"/>
      <c r="Q166" s="7"/>
      <c r="R166" s="7"/>
      <c r="S166" s="7"/>
      <c r="T166" s="8"/>
      <c r="U166" s="7"/>
      <c r="V166" s="7"/>
      <c r="W166" s="8"/>
      <c r="X166" s="8"/>
      <c r="Y166" s="8"/>
      <c r="Z166" s="8"/>
      <c r="AA166" s="8"/>
      <c r="AB166" s="9"/>
      <c r="AC166" s="9"/>
      <c r="AD166" s="9"/>
    </row>
    <row r="167" spans="1:30" ht="17" customHeight="1" x14ac:dyDescent="0.35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7"/>
      <c r="P167" s="8"/>
      <c r="Q167" s="7"/>
      <c r="R167" s="7"/>
      <c r="S167" s="7"/>
      <c r="T167" s="8"/>
      <c r="U167" s="7"/>
      <c r="V167" s="7"/>
      <c r="W167" s="8"/>
      <c r="X167" s="8"/>
      <c r="Y167" s="8"/>
      <c r="Z167" s="8"/>
      <c r="AA167" s="8"/>
      <c r="AB167" s="9"/>
      <c r="AC167" s="9"/>
      <c r="AD167" s="9"/>
    </row>
    <row r="168" spans="1:30" ht="17" customHeight="1" x14ac:dyDescent="0.35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7"/>
      <c r="P168" s="8"/>
      <c r="Q168" s="7"/>
      <c r="R168" s="7"/>
      <c r="S168" s="7"/>
      <c r="T168" s="8"/>
      <c r="U168" s="7"/>
      <c r="V168" s="7"/>
      <c r="W168" s="8"/>
      <c r="X168" s="8"/>
      <c r="Y168" s="8"/>
      <c r="Z168" s="8"/>
      <c r="AA168" s="8"/>
      <c r="AB168" s="9"/>
      <c r="AC168" s="9"/>
      <c r="AD168" s="9"/>
    </row>
    <row r="169" spans="1:30" ht="17" customHeight="1" x14ac:dyDescent="0.35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7"/>
      <c r="P169" s="8"/>
      <c r="Q169" s="7"/>
      <c r="R169" s="7"/>
      <c r="S169" s="7"/>
      <c r="T169" s="8"/>
      <c r="U169" s="7"/>
      <c r="V169" s="7"/>
      <c r="W169" s="8"/>
      <c r="X169" s="8"/>
      <c r="Y169" s="8"/>
      <c r="Z169" s="8"/>
      <c r="AA169" s="8"/>
      <c r="AB169" s="9"/>
      <c r="AC169" s="9"/>
      <c r="AD169" s="9"/>
    </row>
    <row r="170" spans="1:30" ht="17" customHeight="1" x14ac:dyDescent="0.35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7"/>
      <c r="P170" s="8"/>
      <c r="Q170" s="7"/>
      <c r="R170" s="7"/>
      <c r="S170" s="7"/>
      <c r="T170" s="8"/>
      <c r="U170" s="7"/>
      <c r="V170" s="7"/>
      <c r="W170" s="8"/>
      <c r="X170" s="8"/>
      <c r="Y170" s="8"/>
      <c r="Z170" s="8"/>
      <c r="AA170" s="8"/>
      <c r="AB170" s="9"/>
      <c r="AC170" s="9"/>
      <c r="AD170" s="9"/>
    </row>
    <row r="171" spans="1:30" ht="17" customHeight="1" x14ac:dyDescent="0.35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7"/>
      <c r="P171" s="8"/>
      <c r="Q171" s="7"/>
      <c r="R171" s="7"/>
      <c r="S171" s="7"/>
      <c r="T171" s="8"/>
      <c r="U171" s="7"/>
      <c r="V171" s="7"/>
      <c r="W171" s="8"/>
      <c r="X171" s="8"/>
      <c r="Y171" s="8"/>
      <c r="Z171" s="8"/>
      <c r="AA171" s="8"/>
      <c r="AB171" s="9"/>
      <c r="AC171" s="9"/>
      <c r="AD171" s="9"/>
    </row>
    <row r="172" spans="1:30" ht="17" customHeight="1" x14ac:dyDescent="0.35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7"/>
      <c r="P172" s="8"/>
      <c r="Q172" s="7"/>
      <c r="R172" s="7"/>
      <c r="S172" s="7"/>
      <c r="T172" s="8"/>
      <c r="U172" s="7"/>
      <c r="V172" s="7"/>
      <c r="W172" s="8"/>
      <c r="X172" s="8"/>
      <c r="Y172" s="8"/>
      <c r="Z172" s="8"/>
      <c r="AA172" s="8"/>
      <c r="AB172" s="9"/>
      <c r="AC172" s="9"/>
      <c r="AD172" s="9"/>
    </row>
    <row r="173" spans="1:30" ht="17" customHeight="1" x14ac:dyDescent="0.35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7"/>
      <c r="P173" s="8"/>
      <c r="Q173" s="7"/>
      <c r="R173" s="7"/>
      <c r="S173" s="7"/>
      <c r="T173" s="8"/>
      <c r="U173" s="7"/>
      <c r="V173" s="7"/>
      <c r="W173" s="8"/>
      <c r="X173" s="8"/>
      <c r="Y173" s="8"/>
      <c r="Z173" s="8"/>
      <c r="AA173" s="8"/>
      <c r="AB173" s="9"/>
      <c r="AC173" s="9"/>
      <c r="AD173" s="9"/>
    </row>
    <row r="174" spans="1:30" ht="17" customHeight="1" x14ac:dyDescent="0.35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7"/>
      <c r="P174" s="8"/>
      <c r="Q174" s="7"/>
      <c r="R174" s="7"/>
      <c r="S174" s="7"/>
      <c r="T174" s="8"/>
      <c r="U174" s="7"/>
      <c r="V174" s="7"/>
      <c r="W174" s="8"/>
      <c r="X174" s="8"/>
      <c r="Y174" s="8"/>
      <c r="Z174" s="8"/>
      <c r="AA174" s="8"/>
      <c r="AB174" s="9"/>
      <c r="AC174" s="9"/>
      <c r="AD174" s="9"/>
    </row>
    <row r="175" spans="1:30" ht="17" customHeight="1" x14ac:dyDescent="0.35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7"/>
      <c r="P175" s="8"/>
      <c r="Q175" s="7"/>
      <c r="R175" s="7"/>
      <c r="S175" s="7"/>
      <c r="T175" s="8"/>
      <c r="U175" s="7"/>
      <c r="V175" s="7"/>
      <c r="W175" s="8"/>
      <c r="X175" s="8"/>
      <c r="Y175" s="8"/>
      <c r="Z175" s="8"/>
      <c r="AA175" s="8"/>
      <c r="AB175" s="9"/>
      <c r="AC175" s="9"/>
      <c r="AD175" s="9"/>
    </row>
    <row r="176" spans="1:30" ht="17" customHeight="1" x14ac:dyDescent="0.35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7"/>
      <c r="P176" s="8"/>
      <c r="Q176" s="7"/>
      <c r="R176" s="7"/>
      <c r="S176" s="7"/>
      <c r="T176" s="8"/>
      <c r="U176" s="7"/>
      <c r="V176" s="7"/>
      <c r="W176" s="8"/>
      <c r="X176" s="8"/>
      <c r="Y176" s="8"/>
      <c r="Z176" s="8"/>
      <c r="AA176" s="8"/>
      <c r="AB176" s="9"/>
      <c r="AC176" s="9"/>
      <c r="AD176" s="9"/>
    </row>
    <row r="177" spans="1:30" ht="17" customHeight="1" x14ac:dyDescent="0.35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7"/>
      <c r="P177" s="8"/>
      <c r="Q177" s="7"/>
      <c r="R177" s="7"/>
      <c r="S177" s="7"/>
      <c r="T177" s="8"/>
      <c r="U177" s="7"/>
      <c r="V177" s="7"/>
      <c r="W177" s="8"/>
      <c r="X177" s="8"/>
      <c r="Y177" s="8"/>
      <c r="Z177" s="8"/>
      <c r="AA177" s="8"/>
      <c r="AB177" s="9"/>
      <c r="AC177" s="9"/>
      <c r="AD177" s="9"/>
    </row>
    <row r="178" spans="1:30" ht="17" customHeight="1" x14ac:dyDescent="0.35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7"/>
      <c r="P178" s="8"/>
      <c r="Q178" s="7"/>
      <c r="R178" s="7"/>
      <c r="S178" s="7"/>
      <c r="T178" s="8"/>
      <c r="U178" s="7"/>
      <c r="V178" s="7"/>
      <c r="W178" s="8"/>
      <c r="X178" s="8"/>
      <c r="Y178" s="8"/>
      <c r="Z178" s="8"/>
      <c r="AA178" s="8"/>
      <c r="AB178" s="9"/>
      <c r="AC178" s="9"/>
      <c r="AD178" s="9"/>
    </row>
    <row r="179" spans="1:30" ht="17" customHeight="1" x14ac:dyDescent="0.35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7"/>
      <c r="P179" s="8"/>
      <c r="Q179" s="7"/>
      <c r="R179" s="7"/>
      <c r="S179" s="7"/>
      <c r="T179" s="8"/>
      <c r="U179" s="7"/>
      <c r="V179" s="7"/>
      <c r="W179" s="8"/>
      <c r="X179" s="8"/>
      <c r="Y179" s="8"/>
      <c r="Z179" s="8"/>
      <c r="AA179" s="8"/>
      <c r="AB179" s="9"/>
      <c r="AC179" s="9"/>
      <c r="AD179" s="9"/>
    </row>
    <row r="180" spans="1:30" ht="17" customHeight="1" x14ac:dyDescent="0.35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7"/>
      <c r="P180" s="8"/>
      <c r="Q180" s="7"/>
      <c r="R180" s="7"/>
      <c r="S180" s="7"/>
      <c r="T180" s="8"/>
      <c r="U180" s="7"/>
      <c r="V180" s="7"/>
      <c r="W180" s="8"/>
      <c r="X180" s="8"/>
      <c r="Y180" s="8"/>
      <c r="Z180" s="8"/>
      <c r="AA180" s="8"/>
      <c r="AB180" s="9"/>
      <c r="AC180" s="9"/>
      <c r="AD180" s="9"/>
    </row>
    <row r="181" spans="1:30" ht="17" customHeight="1" x14ac:dyDescent="0.35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7"/>
      <c r="P181" s="8"/>
      <c r="Q181" s="7"/>
      <c r="R181" s="7"/>
      <c r="S181" s="7"/>
      <c r="T181" s="8"/>
      <c r="U181" s="7"/>
      <c r="V181" s="7"/>
      <c r="W181" s="8"/>
      <c r="X181" s="8"/>
      <c r="Y181" s="8"/>
      <c r="Z181" s="8"/>
      <c r="AA181" s="8"/>
      <c r="AB181" s="9"/>
      <c r="AC181" s="9"/>
      <c r="AD181" s="9"/>
    </row>
    <row r="182" spans="1:30" ht="17" customHeight="1" x14ac:dyDescent="0.35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7"/>
      <c r="P182" s="8"/>
      <c r="Q182" s="7"/>
      <c r="R182" s="7"/>
      <c r="S182" s="7"/>
      <c r="T182" s="8"/>
      <c r="U182" s="7"/>
      <c r="V182" s="7"/>
      <c r="W182" s="8"/>
      <c r="X182" s="8"/>
      <c r="Y182" s="8"/>
      <c r="Z182" s="8"/>
      <c r="AA182" s="8"/>
      <c r="AB182" s="9"/>
      <c r="AC182" s="9"/>
      <c r="AD182" s="9"/>
    </row>
    <row r="183" spans="1:30" ht="17" customHeight="1" x14ac:dyDescent="0.35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7"/>
      <c r="P183" s="8"/>
      <c r="Q183" s="7"/>
      <c r="R183" s="7"/>
      <c r="S183" s="7"/>
      <c r="T183" s="8"/>
      <c r="U183" s="7"/>
      <c r="V183" s="7"/>
      <c r="W183" s="8"/>
      <c r="X183" s="8"/>
      <c r="Y183" s="8"/>
      <c r="Z183" s="8"/>
      <c r="AA183" s="8"/>
      <c r="AB183" s="9"/>
      <c r="AC183" s="9"/>
      <c r="AD183" s="9"/>
    </row>
    <row r="184" spans="1:30" ht="17" customHeight="1" x14ac:dyDescent="0.35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7"/>
      <c r="P184" s="8"/>
      <c r="Q184" s="7"/>
      <c r="R184" s="7"/>
      <c r="S184" s="7"/>
      <c r="T184" s="8"/>
      <c r="U184" s="7"/>
      <c r="V184" s="7"/>
      <c r="W184" s="8"/>
      <c r="X184" s="8"/>
      <c r="Y184" s="8"/>
      <c r="Z184" s="8"/>
      <c r="AA184" s="8"/>
      <c r="AB184" s="9"/>
      <c r="AC184" s="9"/>
      <c r="AD184" s="9"/>
    </row>
    <row r="185" spans="1:30" ht="17" customHeight="1" x14ac:dyDescent="0.35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7"/>
      <c r="P185" s="8"/>
      <c r="Q185" s="7"/>
      <c r="R185" s="7"/>
      <c r="S185" s="7"/>
      <c r="T185" s="8"/>
      <c r="U185" s="7"/>
      <c r="V185" s="7"/>
      <c r="W185" s="8"/>
      <c r="X185" s="8"/>
      <c r="Y185" s="8"/>
      <c r="Z185" s="8"/>
      <c r="AA185" s="8"/>
      <c r="AB185" s="9"/>
      <c r="AC185" s="9"/>
      <c r="AD185" s="9"/>
    </row>
    <row r="186" spans="1:30" ht="17" customHeight="1" x14ac:dyDescent="0.35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7"/>
      <c r="P186" s="8"/>
      <c r="Q186" s="7"/>
      <c r="R186" s="7"/>
      <c r="S186" s="7"/>
      <c r="T186" s="8"/>
      <c r="U186" s="7"/>
      <c r="V186" s="7"/>
      <c r="W186" s="8"/>
      <c r="X186" s="8"/>
      <c r="Y186" s="8"/>
      <c r="Z186" s="8"/>
      <c r="AA186" s="8"/>
      <c r="AB186" s="9"/>
      <c r="AC186" s="9"/>
      <c r="AD186" s="9"/>
    </row>
    <row r="187" spans="1:30" ht="17" customHeight="1" x14ac:dyDescent="0.35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7"/>
      <c r="P187" s="8"/>
      <c r="Q187" s="7"/>
      <c r="R187" s="7"/>
      <c r="S187" s="7"/>
      <c r="T187" s="8"/>
      <c r="U187" s="7"/>
      <c r="V187" s="7"/>
      <c r="W187" s="8"/>
      <c r="X187" s="8"/>
      <c r="Y187" s="8"/>
      <c r="Z187" s="8"/>
      <c r="AA187" s="8"/>
      <c r="AB187" s="9"/>
      <c r="AC187" s="9"/>
      <c r="AD187" s="9"/>
    </row>
    <row r="188" spans="1:30" ht="17" customHeight="1" x14ac:dyDescent="0.35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7"/>
      <c r="P188" s="8"/>
      <c r="Q188" s="7"/>
      <c r="R188" s="7"/>
      <c r="S188" s="7"/>
      <c r="T188" s="8"/>
      <c r="U188" s="7"/>
      <c r="V188" s="7"/>
      <c r="W188" s="8"/>
      <c r="X188" s="8"/>
      <c r="Y188" s="8"/>
      <c r="Z188" s="8"/>
      <c r="AA188" s="8"/>
      <c r="AB188" s="9"/>
      <c r="AC188" s="9"/>
      <c r="AD188" s="9"/>
    </row>
    <row r="189" spans="1:30" ht="17" customHeight="1" x14ac:dyDescent="0.35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7"/>
      <c r="P189" s="8"/>
      <c r="Q189" s="7"/>
      <c r="R189" s="7"/>
      <c r="S189" s="7"/>
      <c r="T189" s="8"/>
      <c r="U189" s="7"/>
      <c r="V189" s="7"/>
      <c r="W189" s="8"/>
      <c r="X189" s="8"/>
      <c r="Y189" s="8"/>
      <c r="Z189" s="8"/>
      <c r="AA189" s="8"/>
      <c r="AB189" s="9"/>
      <c r="AC189" s="9"/>
      <c r="AD189" s="9"/>
    </row>
    <row r="190" spans="1:30" ht="17" customHeight="1" x14ac:dyDescent="0.35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7"/>
      <c r="P190" s="8"/>
      <c r="Q190" s="7"/>
      <c r="R190" s="7"/>
      <c r="S190" s="7"/>
      <c r="T190" s="8"/>
      <c r="U190" s="7"/>
      <c r="V190" s="7"/>
      <c r="W190" s="8"/>
      <c r="X190" s="8"/>
      <c r="Y190" s="8"/>
      <c r="Z190" s="8"/>
      <c r="AA190" s="8"/>
      <c r="AB190" s="9"/>
      <c r="AC190" s="9"/>
      <c r="AD190" s="9"/>
    </row>
    <row r="191" spans="1:30" ht="17" customHeight="1" x14ac:dyDescent="0.35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7"/>
      <c r="P191" s="8"/>
      <c r="Q191" s="7"/>
      <c r="R191" s="7"/>
      <c r="S191" s="7"/>
      <c r="T191" s="8"/>
      <c r="U191" s="7"/>
      <c r="V191" s="7"/>
      <c r="W191" s="8"/>
      <c r="X191" s="8"/>
      <c r="Y191" s="8"/>
      <c r="Z191" s="8"/>
      <c r="AA191" s="8"/>
      <c r="AB191" s="9"/>
      <c r="AC191" s="9"/>
      <c r="AD191" s="9"/>
    </row>
    <row r="192" spans="1:30" ht="17" customHeight="1" x14ac:dyDescent="0.35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7"/>
      <c r="P192" s="8"/>
      <c r="Q192" s="7"/>
      <c r="R192" s="7"/>
      <c r="S192" s="7"/>
      <c r="T192" s="8"/>
      <c r="U192" s="7"/>
      <c r="V192" s="7"/>
      <c r="W192" s="8"/>
      <c r="X192" s="8"/>
      <c r="Y192" s="8"/>
      <c r="Z192" s="8"/>
      <c r="AA192" s="8"/>
      <c r="AB192" s="9"/>
      <c r="AC192" s="9"/>
      <c r="AD192" s="9"/>
    </row>
    <row r="193" spans="1:30" ht="17" customHeight="1" x14ac:dyDescent="0.35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7"/>
      <c r="P193" s="8"/>
      <c r="Q193" s="7"/>
      <c r="R193" s="7"/>
      <c r="S193" s="7"/>
      <c r="T193" s="8"/>
      <c r="U193" s="7"/>
      <c r="V193" s="7"/>
      <c r="W193" s="8"/>
      <c r="X193" s="8"/>
      <c r="Y193" s="8"/>
      <c r="Z193" s="8"/>
      <c r="AA193" s="8"/>
      <c r="AB193" s="9"/>
      <c r="AC193" s="9"/>
      <c r="AD193" s="9"/>
    </row>
    <row r="194" spans="1:30" ht="17" customHeight="1" x14ac:dyDescent="0.35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7"/>
      <c r="P194" s="8"/>
      <c r="Q194" s="7"/>
      <c r="R194" s="7"/>
      <c r="S194" s="7"/>
      <c r="T194" s="8"/>
      <c r="U194" s="7"/>
      <c r="V194" s="7"/>
      <c r="W194" s="8"/>
      <c r="X194" s="8"/>
      <c r="Y194" s="8"/>
      <c r="Z194" s="8"/>
      <c r="AA194" s="8"/>
      <c r="AB194" s="9"/>
      <c r="AC194" s="9"/>
      <c r="AD194" s="9"/>
    </row>
    <row r="195" spans="1:30" ht="17" customHeight="1" x14ac:dyDescent="0.35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7"/>
      <c r="P195" s="8"/>
      <c r="Q195" s="7"/>
      <c r="R195" s="7"/>
      <c r="S195" s="7"/>
      <c r="T195" s="8"/>
      <c r="U195" s="7"/>
      <c r="V195" s="7"/>
      <c r="W195" s="8"/>
      <c r="X195" s="8"/>
      <c r="Y195" s="8"/>
      <c r="Z195" s="8"/>
      <c r="AA195" s="8"/>
      <c r="AB195" s="9"/>
      <c r="AC195" s="9"/>
      <c r="AD195" s="9"/>
    </row>
    <row r="196" spans="1:30" ht="17" customHeight="1" x14ac:dyDescent="0.35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7"/>
      <c r="P196" s="8"/>
      <c r="Q196" s="7"/>
      <c r="R196" s="7"/>
      <c r="S196" s="7"/>
      <c r="T196" s="8"/>
      <c r="U196" s="7"/>
      <c r="V196" s="7"/>
      <c r="W196" s="8"/>
      <c r="X196" s="8"/>
      <c r="Y196" s="8"/>
      <c r="Z196" s="8"/>
      <c r="AA196" s="8"/>
      <c r="AB196" s="9"/>
      <c r="AC196" s="9"/>
      <c r="AD196" s="9"/>
    </row>
    <row r="197" spans="1:30" ht="17" customHeight="1" x14ac:dyDescent="0.35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7"/>
      <c r="P197" s="8"/>
      <c r="Q197" s="7"/>
      <c r="R197" s="7"/>
      <c r="S197" s="7"/>
      <c r="T197" s="8"/>
      <c r="U197" s="7"/>
      <c r="V197" s="7"/>
      <c r="W197" s="8"/>
      <c r="X197" s="8"/>
      <c r="Y197" s="8"/>
      <c r="Z197" s="8"/>
      <c r="AA197" s="8"/>
      <c r="AB197" s="9"/>
      <c r="AC197" s="9"/>
      <c r="AD197" s="9"/>
    </row>
    <row r="198" spans="1:30" ht="17" customHeight="1" x14ac:dyDescent="0.35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7"/>
      <c r="P198" s="8"/>
      <c r="Q198" s="7"/>
      <c r="R198" s="7"/>
      <c r="S198" s="7"/>
      <c r="T198" s="8"/>
      <c r="U198" s="7"/>
      <c r="V198" s="7"/>
      <c r="W198" s="8"/>
      <c r="X198" s="8"/>
      <c r="Y198" s="8"/>
      <c r="Z198" s="8"/>
      <c r="AA198" s="8"/>
      <c r="AB198" s="9"/>
      <c r="AC198" s="9"/>
      <c r="AD198" s="9"/>
    </row>
    <row r="199" spans="1:30" ht="17" customHeight="1" x14ac:dyDescent="0.35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7"/>
      <c r="P199" s="8"/>
      <c r="Q199" s="7"/>
      <c r="R199" s="7"/>
      <c r="S199" s="7"/>
      <c r="T199" s="8"/>
      <c r="U199" s="7"/>
      <c r="V199" s="7"/>
      <c r="W199" s="8"/>
      <c r="X199" s="8"/>
      <c r="Y199" s="8"/>
      <c r="Z199" s="8"/>
      <c r="AA199" s="8"/>
      <c r="AB199" s="9"/>
      <c r="AC199" s="9"/>
      <c r="AD199" s="9"/>
    </row>
    <row r="200" spans="1:30" ht="17" customHeight="1" x14ac:dyDescent="0.35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7"/>
      <c r="P200" s="8"/>
      <c r="Q200" s="7"/>
      <c r="R200" s="7"/>
      <c r="S200" s="7"/>
      <c r="T200" s="8"/>
      <c r="U200" s="7"/>
      <c r="V200" s="7"/>
      <c r="W200" s="8"/>
      <c r="X200" s="8"/>
      <c r="Y200" s="8"/>
      <c r="Z200" s="8"/>
      <c r="AA200" s="8"/>
      <c r="AB200" s="9"/>
      <c r="AC200" s="9"/>
      <c r="AD200" s="9"/>
    </row>
    <row r="201" spans="1:30" ht="17" customHeight="1" x14ac:dyDescent="0.35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7"/>
      <c r="P201" s="8"/>
      <c r="Q201" s="7"/>
      <c r="R201" s="7"/>
      <c r="S201" s="7"/>
      <c r="T201" s="8"/>
      <c r="U201" s="7"/>
      <c r="V201" s="7"/>
      <c r="W201" s="8"/>
      <c r="X201" s="8"/>
      <c r="Y201" s="8"/>
      <c r="Z201" s="8"/>
      <c r="AA201" s="8"/>
      <c r="AB201" s="9"/>
      <c r="AC201" s="9"/>
      <c r="AD201" s="9"/>
    </row>
    <row r="202" spans="1:30" ht="17" customHeight="1" x14ac:dyDescent="0.35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7"/>
      <c r="P202" s="8"/>
      <c r="Q202" s="7"/>
      <c r="R202" s="7"/>
      <c r="S202" s="7"/>
      <c r="T202" s="8"/>
      <c r="U202" s="7"/>
      <c r="V202" s="7"/>
      <c r="W202" s="8"/>
      <c r="X202" s="8"/>
      <c r="Y202" s="8"/>
      <c r="Z202" s="8"/>
      <c r="AA202" s="8"/>
      <c r="AB202" s="9"/>
      <c r="AC202" s="9"/>
      <c r="AD202" s="9"/>
    </row>
    <row r="203" spans="1:30" ht="17" customHeight="1" x14ac:dyDescent="0.35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7"/>
      <c r="P203" s="8"/>
      <c r="Q203" s="7"/>
      <c r="R203" s="7"/>
      <c r="S203" s="7"/>
      <c r="T203" s="8"/>
      <c r="U203" s="7"/>
      <c r="V203" s="7"/>
      <c r="W203" s="8"/>
      <c r="X203" s="8"/>
      <c r="Y203" s="8"/>
      <c r="Z203" s="8"/>
      <c r="AA203" s="8"/>
      <c r="AB203" s="9"/>
      <c r="AC203" s="9"/>
      <c r="AD203" s="9"/>
    </row>
    <row r="204" spans="1:30" ht="17" customHeight="1" x14ac:dyDescent="0.35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7"/>
      <c r="P204" s="8"/>
      <c r="Q204" s="7"/>
      <c r="R204" s="7"/>
      <c r="S204" s="7"/>
      <c r="T204" s="8"/>
      <c r="U204" s="7"/>
      <c r="V204" s="7"/>
      <c r="W204" s="8"/>
      <c r="X204" s="8"/>
      <c r="Y204" s="8"/>
      <c r="Z204" s="8"/>
      <c r="AA204" s="8"/>
      <c r="AB204" s="9"/>
      <c r="AC204" s="9"/>
      <c r="AD204" s="9"/>
    </row>
    <row r="205" spans="1:30" ht="17" customHeight="1" x14ac:dyDescent="0.35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7"/>
      <c r="P205" s="8"/>
      <c r="Q205" s="7"/>
      <c r="R205" s="7"/>
      <c r="S205" s="7"/>
      <c r="T205" s="8"/>
      <c r="U205" s="7"/>
      <c r="V205" s="7"/>
      <c r="W205" s="8"/>
      <c r="X205" s="8"/>
      <c r="Y205" s="8"/>
      <c r="Z205" s="8"/>
      <c r="AA205" s="8"/>
      <c r="AB205" s="9"/>
      <c r="AC205" s="9"/>
      <c r="AD205" s="9"/>
    </row>
    <row r="207" spans="1:30" x14ac:dyDescent="0.35">
      <c r="A207" s="24" t="s">
        <v>103</v>
      </c>
      <c r="B207" s="25"/>
      <c r="C207" s="25"/>
      <c r="D207" s="25"/>
      <c r="E207" s="25"/>
      <c r="F207" s="25"/>
      <c r="G207" s="25"/>
    </row>
  </sheetData>
  <mergeCells count="6">
    <mergeCell ref="A207:G207"/>
    <mergeCell ref="AB2:AD2"/>
    <mergeCell ref="A2:B2"/>
    <mergeCell ref="C2:H2"/>
    <mergeCell ref="Q2:AA2"/>
    <mergeCell ref="I2:P2"/>
  </mergeCells>
  <dataValidations count="6">
    <dataValidation type="list" allowBlank="1" showErrorMessage="1" errorTitle="Ошибка" error="Выберите из списка" sqref="H6:H205" xr:uid="{00000000-0002-0000-0000-000000000000}">
      <formula1>"partner,donor,surgical"</formula1>
    </dataValidation>
    <dataValidation type="list" allowBlank="1" showErrorMessage="1" errorTitle="Ошибка" error="Выберите из списка" sqref="I6:I205" xr:uid="{00000000-0002-0000-0000-000001000000}">
      <formula1>"normal,PCOS,DOR,MFI,unexplained,other"</formula1>
    </dataValidation>
    <dataValidation type="list" allowBlank="1" showErrorMessage="1" errorTitle="Ошибка" error="Выберите из списка" sqref="J6:J205" xr:uid="{00000000-0002-0000-0000-000002000000}">
      <formula1>"long_agonist,short_agonist,antagonist,mini,other"</formula1>
    </dataValidation>
    <dataValidation type="list" allowBlank="1" showErrorMessage="1" errorTitle="Ошибка" error="Выберите из списка" sqref="L6:L205 AD6:AD205 AA6:AA205" xr:uid="{00000000-0002-0000-0000-000003000000}">
      <formula1>"0,1"</formula1>
    </dataValidation>
    <dataValidation type="list" allowBlank="1" showErrorMessage="1" errorTitle="Ошибка" error="Выберите из списка" sqref="AB6:AB205" xr:uid="{00000000-0002-0000-0000-000006000000}">
      <formula1>"no_transfer,biochemical,clinical,ongoing,delivery,miscarriage,unknown"</formula1>
    </dataValidation>
    <dataValidation type="list" allowBlank="1" showErrorMessage="1" errorTitle="Ошибка" error="Выберите из списка" sqref="Z6:Z205" xr:uid="{00000000-0002-0000-0000-000007000000}">
      <formula1>"0,1,2,3"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7"/>
  <sheetViews>
    <sheetView showGridLines="0" topLeftCell="D1" workbookViewId="0">
      <pane ySplit="5" topLeftCell="A6" activePane="bottomLeft" state="frozen"/>
      <selection pane="bottomLeft" activeCell="H6" sqref="H6"/>
    </sheetView>
  </sheetViews>
  <sheetFormatPr defaultRowHeight="14.5" x14ac:dyDescent="0.35"/>
  <cols>
    <col min="1" max="2" width="13" customWidth="1"/>
    <col min="3" max="3" width="8" customWidth="1"/>
    <col min="4" max="4" width="9" customWidth="1"/>
    <col min="5" max="6" width="8" customWidth="1"/>
    <col min="7" max="7" width="10" customWidth="1"/>
    <col min="8" max="9" width="13" customWidth="1"/>
    <col min="10" max="10" width="16" customWidth="1"/>
    <col min="11" max="11" width="13" customWidth="1"/>
    <col min="12" max="12" width="9" customWidth="1"/>
    <col min="13" max="13" width="12" customWidth="1"/>
    <col min="14" max="14" width="10" customWidth="1"/>
    <col min="15" max="15" width="14" customWidth="1"/>
    <col min="16" max="16" width="16" customWidth="1"/>
    <col min="17" max="19" width="8" customWidth="1"/>
    <col min="20" max="20" width="12" customWidth="1"/>
    <col min="21" max="21" width="13" customWidth="1"/>
    <col min="22" max="22" width="14" customWidth="1"/>
    <col min="23" max="24" width="11" customWidth="1"/>
    <col min="25" max="25" width="13" customWidth="1"/>
    <col min="26" max="26" width="9" customWidth="1"/>
    <col min="27" max="27" width="12" customWidth="1"/>
    <col min="28" max="28" width="21.6328125" customWidth="1"/>
    <col min="29" max="30" width="13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0" customHeight="1" x14ac:dyDescent="0.35">
      <c r="A2" s="27" t="s">
        <v>104</v>
      </c>
      <c r="B2" s="25"/>
      <c r="C2" s="28" t="s">
        <v>105</v>
      </c>
      <c r="D2" s="25"/>
      <c r="E2" s="25"/>
      <c r="F2" s="25"/>
      <c r="G2" s="25"/>
      <c r="H2" s="25"/>
      <c r="I2" s="30" t="s">
        <v>106</v>
      </c>
      <c r="J2" s="25"/>
      <c r="K2" s="25"/>
      <c r="L2" s="25"/>
      <c r="M2" s="25"/>
      <c r="N2" s="25"/>
      <c r="O2" s="25"/>
      <c r="P2" s="25"/>
      <c r="Q2" s="29" t="s">
        <v>107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6" t="s">
        <v>108</v>
      </c>
      <c r="AC2" s="25"/>
      <c r="AD2" s="25"/>
    </row>
    <row r="3" spans="1:30" ht="38" customHeight="1" x14ac:dyDescent="0.3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3" t="s">
        <v>117</v>
      </c>
      <c r="J3" s="3" t="s">
        <v>118</v>
      </c>
      <c r="K3" s="3" t="s">
        <v>119</v>
      </c>
      <c r="L3" s="3" t="s">
        <v>120</v>
      </c>
      <c r="M3" s="3" t="s">
        <v>121</v>
      </c>
      <c r="N3" s="3" t="s">
        <v>122</v>
      </c>
      <c r="O3" s="2" t="s">
        <v>123</v>
      </c>
      <c r="P3" s="3" t="s">
        <v>124</v>
      </c>
      <c r="Q3" s="2" t="s">
        <v>125</v>
      </c>
      <c r="R3" s="2" t="s">
        <v>126</v>
      </c>
      <c r="S3" s="2" t="s">
        <v>127</v>
      </c>
      <c r="T3" s="3" t="s">
        <v>128</v>
      </c>
      <c r="U3" s="2" t="s">
        <v>129</v>
      </c>
      <c r="V3" s="2" t="s">
        <v>130</v>
      </c>
      <c r="W3" s="3" t="s">
        <v>131</v>
      </c>
      <c r="X3" s="3" t="s">
        <v>132</v>
      </c>
      <c r="Y3" s="3" t="s">
        <v>133</v>
      </c>
      <c r="Z3" s="3" t="s">
        <v>134</v>
      </c>
      <c r="AA3" s="3" t="s">
        <v>135</v>
      </c>
      <c r="AB3" s="4" t="s">
        <v>136</v>
      </c>
      <c r="AC3" s="4" t="s">
        <v>137</v>
      </c>
      <c r="AD3" s="4" t="s">
        <v>138</v>
      </c>
    </row>
    <row r="4" spans="1:30" ht="59.5" customHeight="1" x14ac:dyDescent="0.35">
      <c r="A4" s="5" t="s">
        <v>139</v>
      </c>
      <c r="B4" s="5" t="s">
        <v>140</v>
      </c>
      <c r="C4" s="5" t="s">
        <v>67</v>
      </c>
      <c r="D4" s="5" t="s">
        <v>141</v>
      </c>
      <c r="E4" s="5" t="s">
        <v>142</v>
      </c>
      <c r="F4" s="5" t="s">
        <v>70</v>
      </c>
      <c r="G4" s="5" t="s">
        <v>143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144</v>
      </c>
      <c r="M4" s="5" t="s">
        <v>145</v>
      </c>
      <c r="N4" s="5" t="s">
        <v>78</v>
      </c>
      <c r="O4" s="5" t="s">
        <v>146</v>
      </c>
      <c r="P4" s="5" t="s">
        <v>147</v>
      </c>
      <c r="Q4" s="5" t="s">
        <v>148</v>
      </c>
      <c r="R4" s="5" t="s">
        <v>149</v>
      </c>
      <c r="S4" s="5" t="s">
        <v>150</v>
      </c>
      <c r="T4" s="5" t="s">
        <v>151</v>
      </c>
      <c r="U4" s="5" t="s">
        <v>152</v>
      </c>
      <c r="V4" s="5" t="s">
        <v>153</v>
      </c>
      <c r="W4" s="5" t="s">
        <v>154</v>
      </c>
      <c r="X4" s="5" t="s">
        <v>155</v>
      </c>
      <c r="Y4" s="5" t="s">
        <v>156</v>
      </c>
      <c r="Z4" s="5" t="s">
        <v>157</v>
      </c>
      <c r="AA4" s="5" t="s">
        <v>158</v>
      </c>
      <c r="AB4" s="5" t="s">
        <v>92</v>
      </c>
      <c r="AC4" s="5" t="s">
        <v>159</v>
      </c>
      <c r="AD4" s="5" t="s">
        <v>144</v>
      </c>
    </row>
    <row r="5" spans="1:30" ht="18" customHeight="1" x14ac:dyDescent="0.35">
      <c r="A5" s="6" t="s">
        <v>94</v>
      </c>
      <c r="B5" s="6" t="s">
        <v>95</v>
      </c>
      <c r="C5" s="6">
        <v>34</v>
      </c>
      <c r="D5" s="6" t="s">
        <v>96</v>
      </c>
      <c r="E5" s="6">
        <v>14</v>
      </c>
      <c r="F5" s="6" t="s">
        <v>97</v>
      </c>
      <c r="G5" s="6">
        <v>1</v>
      </c>
      <c r="H5" s="6" t="s">
        <v>98</v>
      </c>
      <c r="I5" s="6" t="s">
        <v>99</v>
      </c>
      <c r="J5" s="6" t="s">
        <v>100</v>
      </c>
      <c r="K5" s="6">
        <v>225</v>
      </c>
      <c r="L5" s="6">
        <v>0</v>
      </c>
      <c r="M5" s="6">
        <v>0</v>
      </c>
      <c r="N5" s="6">
        <v>10</v>
      </c>
      <c r="O5" s="6">
        <v>12</v>
      </c>
      <c r="P5" s="6">
        <v>8500</v>
      </c>
      <c r="Q5" s="6">
        <v>10</v>
      </c>
      <c r="R5" s="6">
        <v>8</v>
      </c>
      <c r="S5" s="6">
        <v>7</v>
      </c>
      <c r="T5" s="6">
        <v>7</v>
      </c>
      <c r="U5" s="6">
        <v>4</v>
      </c>
      <c r="V5" s="6">
        <v>3</v>
      </c>
      <c r="W5" s="6">
        <v>3</v>
      </c>
      <c r="X5" s="6">
        <v>1</v>
      </c>
      <c r="Y5" s="6"/>
      <c r="Z5" s="6">
        <v>0</v>
      </c>
      <c r="AA5" s="6">
        <v>0</v>
      </c>
      <c r="AB5" s="6" t="s">
        <v>101</v>
      </c>
      <c r="AC5" s="6" t="s">
        <v>102</v>
      </c>
      <c r="AD5" s="6">
        <v>1</v>
      </c>
    </row>
    <row r="6" spans="1:30" ht="17" customHeight="1" x14ac:dyDescent="0.35">
      <c r="A6" s="7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7"/>
      <c r="P6" s="8"/>
      <c r="Q6" s="7"/>
      <c r="R6" s="7"/>
      <c r="S6" s="7"/>
      <c r="T6" s="8"/>
      <c r="U6" s="7"/>
      <c r="V6" s="7"/>
      <c r="W6" s="8"/>
      <c r="X6" s="8"/>
      <c r="Y6" s="8"/>
      <c r="Z6" s="8"/>
      <c r="AA6" s="8"/>
      <c r="AB6" s="9"/>
      <c r="AC6" s="9"/>
      <c r="AD6" s="9"/>
    </row>
    <row r="7" spans="1:30" ht="17" customHeight="1" x14ac:dyDescent="0.35">
      <c r="A7" s="7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7"/>
      <c r="P7" s="8"/>
      <c r="Q7" s="7"/>
      <c r="R7" s="7"/>
      <c r="S7" s="7"/>
      <c r="T7" s="8"/>
      <c r="U7" s="7"/>
      <c r="V7" s="7"/>
      <c r="W7" s="8"/>
      <c r="X7" s="8"/>
      <c r="Y7" s="8"/>
      <c r="Z7" s="8"/>
      <c r="AA7" s="8"/>
      <c r="AB7" s="9"/>
      <c r="AC7" s="9"/>
      <c r="AD7" s="9"/>
    </row>
    <row r="8" spans="1:30" ht="17" customHeight="1" x14ac:dyDescent="0.35">
      <c r="A8" s="7"/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8"/>
      <c r="N8" s="8"/>
      <c r="O8" s="7"/>
      <c r="P8" s="8"/>
      <c r="Q8" s="7"/>
      <c r="R8" s="7"/>
      <c r="S8" s="7"/>
      <c r="T8" s="8"/>
      <c r="U8" s="7"/>
      <c r="V8" s="7"/>
      <c r="W8" s="8"/>
      <c r="X8" s="8"/>
      <c r="Y8" s="8"/>
      <c r="Z8" s="8"/>
      <c r="AA8" s="8"/>
      <c r="AB8" s="9"/>
      <c r="AC8" s="9"/>
      <c r="AD8" s="9"/>
    </row>
    <row r="9" spans="1:30" ht="17" customHeight="1" x14ac:dyDescent="0.35">
      <c r="A9" s="7"/>
      <c r="B9" s="7"/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7"/>
      <c r="P9" s="8"/>
      <c r="Q9" s="7"/>
      <c r="R9" s="7"/>
      <c r="S9" s="7"/>
      <c r="T9" s="8"/>
      <c r="U9" s="7"/>
      <c r="V9" s="7"/>
      <c r="W9" s="8"/>
      <c r="X9" s="8"/>
      <c r="Y9" s="8"/>
      <c r="Z9" s="8"/>
      <c r="AA9" s="8"/>
      <c r="AB9" s="9"/>
      <c r="AC9" s="9"/>
      <c r="AD9" s="9"/>
    </row>
    <row r="10" spans="1:30" ht="17" customHeight="1" x14ac:dyDescent="0.35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7"/>
      <c r="P10" s="8"/>
      <c r="Q10" s="7"/>
      <c r="R10" s="7"/>
      <c r="S10" s="7"/>
      <c r="T10" s="8"/>
      <c r="U10" s="7"/>
      <c r="V10" s="7"/>
      <c r="W10" s="8"/>
      <c r="X10" s="8"/>
      <c r="Y10" s="8"/>
      <c r="Z10" s="8"/>
      <c r="AA10" s="8"/>
      <c r="AB10" s="9"/>
      <c r="AC10" s="9"/>
      <c r="AD10" s="9"/>
    </row>
    <row r="11" spans="1:30" ht="17" customHeight="1" x14ac:dyDescent="0.35">
      <c r="A11" s="7"/>
      <c r="B11" s="7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7"/>
      <c r="P11" s="8"/>
      <c r="Q11" s="7"/>
      <c r="R11" s="7"/>
      <c r="S11" s="7"/>
      <c r="T11" s="8"/>
      <c r="U11" s="7"/>
      <c r="V11" s="7"/>
      <c r="W11" s="8"/>
      <c r="X11" s="8"/>
      <c r="Y11" s="8"/>
      <c r="Z11" s="8"/>
      <c r="AA11" s="8"/>
      <c r="AB11" s="9"/>
      <c r="AC11" s="9"/>
      <c r="AD11" s="9"/>
    </row>
    <row r="12" spans="1:30" ht="17" customHeight="1" x14ac:dyDescent="0.35">
      <c r="A12" s="7"/>
      <c r="B12" s="7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7"/>
      <c r="P12" s="8"/>
      <c r="Q12" s="7"/>
      <c r="R12" s="7"/>
      <c r="S12" s="7"/>
      <c r="T12" s="8"/>
      <c r="U12" s="7"/>
      <c r="V12" s="7"/>
      <c r="W12" s="8"/>
      <c r="X12" s="8"/>
      <c r="Y12" s="8"/>
      <c r="Z12" s="8"/>
      <c r="AA12" s="8"/>
      <c r="AB12" s="9"/>
      <c r="AC12" s="9"/>
      <c r="AD12" s="9"/>
    </row>
    <row r="13" spans="1:30" ht="17" customHeight="1" x14ac:dyDescent="0.35">
      <c r="A13" s="7"/>
      <c r="B13" s="7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  <c r="N13" s="8"/>
      <c r="O13" s="7"/>
      <c r="P13" s="8"/>
      <c r="Q13" s="7"/>
      <c r="R13" s="7"/>
      <c r="S13" s="7"/>
      <c r="T13" s="8"/>
      <c r="U13" s="7"/>
      <c r="V13" s="7"/>
      <c r="W13" s="8"/>
      <c r="X13" s="8"/>
      <c r="Y13" s="8"/>
      <c r="Z13" s="8"/>
      <c r="AA13" s="8"/>
      <c r="AB13" s="9"/>
      <c r="AC13" s="9"/>
      <c r="AD13" s="9"/>
    </row>
    <row r="14" spans="1:30" ht="17" customHeight="1" x14ac:dyDescent="0.35">
      <c r="A14" s="7"/>
      <c r="B14" s="7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  <c r="N14" s="8"/>
      <c r="O14" s="7"/>
      <c r="P14" s="8"/>
      <c r="Q14" s="7"/>
      <c r="R14" s="7"/>
      <c r="S14" s="7"/>
      <c r="T14" s="8"/>
      <c r="U14" s="7"/>
      <c r="V14" s="7"/>
      <c r="W14" s="8"/>
      <c r="X14" s="8"/>
      <c r="Y14" s="8"/>
      <c r="Z14" s="8"/>
      <c r="AA14" s="8"/>
      <c r="AB14" s="9"/>
      <c r="AC14" s="9"/>
      <c r="AD14" s="9"/>
    </row>
    <row r="15" spans="1:30" ht="17" customHeight="1" x14ac:dyDescent="0.35">
      <c r="A15" s="7"/>
      <c r="B15" s="7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  <c r="N15" s="8"/>
      <c r="O15" s="7"/>
      <c r="P15" s="8"/>
      <c r="Q15" s="7"/>
      <c r="R15" s="7"/>
      <c r="S15" s="7"/>
      <c r="T15" s="8"/>
      <c r="U15" s="7"/>
      <c r="V15" s="7"/>
      <c r="W15" s="8"/>
      <c r="X15" s="8"/>
      <c r="Y15" s="8"/>
      <c r="Z15" s="8"/>
      <c r="AA15" s="8"/>
      <c r="AB15" s="9"/>
      <c r="AC15" s="9"/>
      <c r="AD15" s="9"/>
    </row>
    <row r="16" spans="1:30" ht="17" customHeight="1" x14ac:dyDescent="0.3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7"/>
      <c r="P16" s="8"/>
      <c r="Q16" s="7"/>
      <c r="R16" s="7"/>
      <c r="S16" s="7"/>
      <c r="T16" s="8"/>
      <c r="U16" s="7"/>
      <c r="V16" s="7"/>
      <c r="W16" s="8"/>
      <c r="X16" s="8"/>
      <c r="Y16" s="8"/>
      <c r="Z16" s="8"/>
      <c r="AA16" s="8"/>
      <c r="AB16" s="9"/>
      <c r="AC16" s="9"/>
      <c r="AD16" s="9"/>
    </row>
    <row r="17" spans="1:30" ht="17" customHeight="1" x14ac:dyDescent="0.3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7"/>
      <c r="P17" s="8"/>
      <c r="Q17" s="7"/>
      <c r="R17" s="7"/>
      <c r="S17" s="7"/>
      <c r="T17" s="8"/>
      <c r="U17" s="7"/>
      <c r="V17" s="7"/>
      <c r="W17" s="8"/>
      <c r="X17" s="8"/>
      <c r="Y17" s="8"/>
      <c r="Z17" s="8"/>
      <c r="AA17" s="8"/>
      <c r="AB17" s="9"/>
      <c r="AC17" s="9"/>
      <c r="AD17" s="9"/>
    </row>
    <row r="18" spans="1:30" ht="17" customHeight="1" x14ac:dyDescent="0.35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7"/>
      <c r="P18" s="8"/>
      <c r="Q18" s="7"/>
      <c r="R18" s="7"/>
      <c r="S18" s="7"/>
      <c r="T18" s="8"/>
      <c r="U18" s="7"/>
      <c r="V18" s="7"/>
      <c r="W18" s="8"/>
      <c r="X18" s="8"/>
      <c r="Y18" s="8"/>
      <c r="Z18" s="8"/>
      <c r="AA18" s="8"/>
      <c r="AB18" s="9"/>
      <c r="AC18" s="9"/>
      <c r="AD18" s="9"/>
    </row>
    <row r="19" spans="1:30" ht="17" customHeight="1" x14ac:dyDescent="0.35">
      <c r="A19" s="7"/>
      <c r="B19" s="7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7"/>
      <c r="P19" s="8"/>
      <c r="Q19" s="7"/>
      <c r="R19" s="7"/>
      <c r="S19" s="7"/>
      <c r="T19" s="8"/>
      <c r="U19" s="7"/>
      <c r="V19" s="7"/>
      <c r="W19" s="8"/>
      <c r="X19" s="8"/>
      <c r="Y19" s="8"/>
      <c r="Z19" s="8"/>
      <c r="AA19" s="8"/>
      <c r="AB19" s="9"/>
      <c r="AC19" s="9"/>
      <c r="AD19" s="9"/>
    </row>
    <row r="20" spans="1:30" ht="17" customHeight="1" x14ac:dyDescent="0.35">
      <c r="A20" s="7"/>
      <c r="B20" s="7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7"/>
      <c r="P20" s="8"/>
      <c r="Q20" s="7"/>
      <c r="R20" s="7"/>
      <c r="S20" s="7"/>
      <c r="T20" s="8"/>
      <c r="U20" s="7"/>
      <c r="V20" s="7"/>
      <c r="W20" s="8"/>
      <c r="X20" s="8"/>
      <c r="Y20" s="8"/>
      <c r="Z20" s="8"/>
      <c r="AA20" s="8"/>
      <c r="AB20" s="9"/>
      <c r="AC20" s="9"/>
      <c r="AD20" s="9"/>
    </row>
    <row r="21" spans="1:30" ht="17" customHeight="1" x14ac:dyDescent="0.35">
      <c r="A21" s="7"/>
      <c r="B21" s="7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  <c r="N21" s="8"/>
      <c r="O21" s="7"/>
      <c r="P21" s="8"/>
      <c r="Q21" s="7"/>
      <c r="R21" s="7"/>
      <c r="S21" s="7"/>
      <c r="T21" s="8"/>
      <c r="U21" s="7"/>
      <c r="V21" s="7"/>
      <c r="W21" s="8"/>
      <c r="X21" s="8"/>
      <c r="Y21" s="8"/>
      <c r="Z21" s="8"/>
      <c r="AA21" s="8"/>
      <c r="AB21" s="9"/>
      <c r="AC21" s="9"/>
      <c r="AD21" s="9"/>
    </row>
    <row r="22" spans="1:30" ht="17" customHeight="1" x14ac:dyDescent="0.35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7"/>
      <c r="P22" s="8"/>
      <c r="Q22" s="7"/>
      <c r="R22" s="7"/>
      <c r="S22" s="7"/>
      <c r="T22" s="8"/>
      <c r="U22" s="7"/>
      <c r="V22" s="7"/>
      <c r="W22" s="8"/>
      <c r="X22" s="8"/>
      <c r="Y22" s="8"/>
      <c r="Z22" s="8"/>
      <c r="AA22" s="8"/>
      <c r="AB22" s="9"/>
      <c r="AC22" s="9"/>
      <c r="AD22" s="9"/>
    </row>
    <row r="23" spans="1:30" ht="17" customHeight="1" x14ac:dyDescent="0.35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7"/>
      <c r="P23" s="8"/>
      <c r="Q23" s="7"/>
      <c r="R23" s="7"/>
      <c r="S23" s="7"/>
      <c r="T23" s="8"/>
      <c r="U23" s="7"/>
      <c r="V23" s="7"/>
      <c r="W23" s="8"/>
      <c r="X23" s="8"/>
      <c r="Y23" s="8"/>
      <c r="Z23" s="8"/>
      <c r="AA23" s="8"/>
      <c r="AB23" s="9"/>
      <c r="AC23" s="9"/>
      <c r="AD23" s="9"/>
    </row>
    <row r="24" spans="1:30" ht="17" customHeight="1" x14ac:dyDescent="0.35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7"/>
      <c r="P24" s="8"/>
      <c r="Q24" s="7"/>
      <c r="R24" s="7"/>
      <c r="S24" s="7"/>
      <c r="T24" s="8"/>
      <c r="U24" s="7"/>
      <c r="V24" s="7"/>
      <c r="W24" s="8"/>
      <c r="X24" s="8"/>
      <c r="Y24" s="8"/>
      <c r="Z24" s="8"/>
      <c r="AA24" s="8"/>
      <c r="AB24" s="9"/>
      <c r="AC24" s="9"/>
      <c r="AD24" s="9"/>
    </row>
    <row r="25" spans="1:30" ht="17" customHeight="1" x14ac:dyDescent="0.35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7"/>
      <c r="P25" s="8"/>
      <c r="Q25" s="7"/>
      <c r="R25" s="7"/>
      <c r="S25" s="7"/>
      <c r="T25" s="8"/>
      <c r="U25" s="7"/>
      <c r="V25" s="7"/>
      <c r="W25" s="8"/>
      <c r="X25" s="8"/>
      <c r="Y25" s="8"/>
      <c r="Z25" s="8"/>
      <c r="AA25" s="8"/>
      <c r="AB25" s="9"/>
      <c r="AC25" s="9"/>
      <c r="AD25" s="9"/>
    </row>
    <row r="26" spans="1:30" ht="17" customHeight="1" x14ac:dyDescent="0.35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7"/>
      <c r="P26" s="8"/>
      <c r="Q26" s="7"/>
      <c r="R26" s="7"/>
      <c r="S26" s="7"/>
      <c r="T26" s="8"/>
      <c r="U26" s="7"/>
      <c r="V26" s="7"/>
      <c r="W26" s="8"/>
      <c r="X26" s="8"/>
      <c r="Y26" s="8"/>
      <c r="Z26" s="8"/>
      <c r="AA26" s="8"/>
      <c r="AB26" s="9"/>
      <c r="AC26" s="9"/>
      <c r="AD26" s="9"/>
    </row>
    <row r="27" spans="1:30" ht="17" customHeight="1" x14ac:dyDescent="0.35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  <c r="N27" s="8"/>
      <c r="O27" s="7"/>
      <c r="P27" s="8"/>
      <c r="Q27" s="7"/>
      <c r="R27" s="7"/>
      <c r="S27" s="7"/>
      <c r="T27" s="8"/>
      <c r="U27" s="7"/>
      <c r="V27" s="7"/>
      <c r="W27" s="8"/>
      <c r="X27" s="8"/>
      <c r="Y27" s="8"/>
      <c r="Z27" s="8"/>
      <c r="AA27" s="8"/>
      <c r="AB27" s="9"/>
      <c r="AC27" s="9"/>
      <c r="AD27" s="9"/>
    </row>
    <row r="28" spans="1:30" ht="17" customHeight="1" x14ac:dyDescent="0.35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  <c r="N28" s="8"/>
      <c r="O28" s="7"/>
      <c r="P28" s="8"/>
      <c r="Q28" s="7"/>
      <c r="R28" s="7"/>
      <c r="S28" s="7"/>
      <c r="T28" s="8"/>
      <c r="U28" s="7"/>
      <c r="V28" s="7"/>
      <c r="W28" s="8"/>
      <c r="X28" s="8"/>
      <c r="Y28" s="8"/>
      <c r="Z28" s="8"/>
      <c r="AA28" s="8"/>
      <c r="AB28" s="9"/>
      <c r="AC28" s="9"/>
      <c r="AD28" s="9"/>
    </row>
    <row r="29" spans="1:30" ht="17" customHeight="1" x14ac:dyDescent="0.35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8"/>
      <c r="N29" s="8"/>
      <c r="O29" s="7"/>
      <c r="P29" s="8"/>
      <c r="Q29" s="7"/>
      <c r="R29" s="7"/>
      <c r="S29" s="7"/>
      <c r="T29" s="8"/>
      <c r="U29" s="7"/>
      <c r="V29" s="7"/>
      <c r="W29" s="8"/>
      <c r="X29" s="8"/>
      <c r="Y29" s="8"/>
      <c r="Z29" s="8"/>
      <c r="AA29" s="8"/>
      <c r="AB29" s="9"/>
      <c r="AC29" s="9"/>
      <c r="AD29" s="9"/>
    </row>
    <row r="30" spans="1:30" ht="17" customHeight="1" x14ac:dyDescent="0.35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8"/>
      <c r="N30" s="8"/>
      <c r="O30" s="7"/>
      <c r="P30" s="8"/>
      <c r="Q30" s="7"/>
      <c r="R30" s="7"/>
      <c r="S30" s="7"/>
      <c r="T30" s="8"/>
      <c r="U30" s="7"/>
      <c r="V30" s="7"/>
      <c r="W30" s="8"/>
      <c r="X30" s="8"/>
      <c r="Y30" s="8"/>
      <c r="Z30" s="8"/>
      <c r="AA30" s="8"/>
      <c r="AB30" s="9"/>
      <c r="AC30" s="9"/>
      <c r="AD30" s="9"/>
    </row>
    <row r="31" spans="1:30" ht="17" customHeight="1" x14ac:dyDescent="0.35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8"/>
      <c r="N31" s="8"/>
      <c r="O31" s="7"/>
      <c r="P31" s="8"/>
      <c r="Q31" s="7"/>
      <c r="R31" s="7"/>
      <c r="S31" s="7"/>
      <c r="T31" s="8"/>
      <c r="U31" s="7"/>
      <c r="V31" s="7"/>
      <c r="W31" s="8"/>
      <c r="X31" s="8"/>
      <c r="Y31" s="8"/>
      <c r="Z31" s="8"/>
      <c r="AA31" s="8"/>
      <c r="AB31" s="9"/>
      <c r="AC31" s="9"/>
      <c r="AD31" s="9"/>
    </row>
    <row r="32" spans="1:30" ht="17" customHeight="1" x14ac:dyDescent="0.35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8"/>
      <c r="N32" s="8"/>
      <c r="O32" s="7"/>
      <c r="P32" s="8"/>
      <c r="Q32" s="7"/>
      <c r="R32" s="7"/>
      <c r="S32" s="7"/>
      <c r="T32" s="8"/>
      <c r="U32" s="7"/>
      <c r="V32" s="7"/>
      <c r="W32" s="8"/>
      <c r="X32" s="8"/>
      <c r="Y32" s="8"/>
      <c r="Z32" s="8"/>
      <c r="AA32" s="8"/>
      <c r="AB32" s="9"/>
      <c r="AC32" s="9"/>
      <c r="AD32" s="9"/>
    </row>
    <row r="33" spans="1:30" ht="17" customHeight="1" x14ac:dyDescent="0.35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8"/>
      <c r="N33" s="8"/>
      <c r="O33" s="7"/>
      <c r="P33" s="8"/>
      <c r="Q33" s="7"/>
      <c r="R33" s="7"/>
      <c r="S33" s="7"/>
      <c r="T33" s="8"/>
      <c r="U33" s="7"/>
      <c r="V33" s="7"/>
      <c r="W33" s="8"/>
      <c r="X33" s="8"/>
      <c r="Y33" s="8"/>
      <c r="Z33" s="8"/>
      <c r="AA33" s="8"/>
      <c r="AB33" s="9"/>
      <c r="AC33" s="9"/>
      <c r="AD33" s="9"/>
    </row>
    <row r="34" spans="1:30" ht="17" customHeight="1" x14ac:dyDescent="0.35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8"/>
      <c r="N34" s="8"/>
      <c r="O34" s="7"/>
      <c r="P34" s="8"/>
      <c r="Q34" s="7"/>
      <c r="R34" s="7"/>
      <c r="S34" s="7"/>
      <c r="T34" s="8"/>
      <c r="U34" s="7"/>
      <c r="V34" s="7"/>
      <c r="W34" s="8"/>
      <c r="X34" s="8"/>
      <c r="Y34" s="8"/>
      <c r="Z34" s="8"/>
      <c r="AA34" s="8"/>
      <c r="AB34" s="9"/>
      <c r="AC34" s="9"/>
      <c r="AD34" s="9"/>
    </row>
    <row r="35" spans="1:30" ht="17" customHeight="1" x14ac:dyDescent="0.35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7"/>
      <c r="P35" s="8"/>
      <c r="Q35" s="7"/>
      <c r="R35" s="7"/>
      <c r="S35" s="7"/>
      <c r="T35" s="8"/>
      <c r="U35" s="7"/>
      <c r="V35" s="7"/>
      <c r="W35" s="8"/>
      <c r="X35" s="8"/>
      <c r="Y35" s="8"/>
      <c r="Z35" s="8"/>
      <c r="AA35" s="8"/>
      <c r="AB35" s="9"/>
      <c r="AC35" s="9"/>
      <c r="AD35" s="9"/>
    </row>
    <row r="36" spans="1:30" ht="17" customHeight="1" x14ac:dyDescent="0.35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7"/>
      <c r="P36" s="8"/>
      <c r="Q36" s="7"/>
      <c r="R36" s="7"/>
      <c r="S36" s="7"/>
      <c r="T36" s="8"/>
      <c r="U36" s="7"/>
      <c r="V36" s="7"/>
      <c r="W36" s="8"/>
      <c r="X36" s="8"/>
      <c r="Y36" s="8"/>
      <c r="Z36" s="8"/>
      <c r="AA36" s="8"/>
      <c r="AB36" s="9"/>
      <c r="AC36" s="9"/>
      <c r="AD36" s="9"/>
    </row>
    <row r="37" spans="1:30" ht="17" customHeight="1" x14ac:dyDescent="0.35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7"/>
      <c r="P37" s="8"/>
      <c r="Q37" s="7"/>
      <c r="R37" s="7"/>
      <c r="S37" s="7"/>
      <c r="T37" s="8"/>
      <c r="U37" s="7"/>
      <c r="V37" s="7"/>
      <c r="W37" s="8"/>
      <c r="X37" s="8"/>
      <c r="Y37" s="8"/>
      <c r="Z37" s="8"/>
      <c r="AA37" s="8"/>
      <c r="AB37" s="9"/>
      <c r="AC37" s="9"/>
      <c r="AD37" s="9"/>
    </row>
    <row r="38" spans="1:30" ht="17" customHeight="1" x14ac:dyDescent="0.35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  <c r="L38" s="8"/>
      <c r="M38" s="8"/>
      <c r="N38" s="8"/>
      <c r="O38" s="7"/>
      <c r="P38" s="8"/>
      <c r="Q38" s="7"/>
      <c r="R38" s="7"/>
      <c r="S38" s="7"/>
      <c r="T38" s="8"/>
      <c r="U38" s="7"/>
      <c r="V38" s="7"/>
      <c r="W38" s="8"/>
      <c r="X38" s="8"/>
      <c r="Y38" s="8"/>
      <c r="Z38" s="8"/>
      <c r="AA38" s="8"/>
      <c r="AB38" s="9"/>
      <c r="AC38" s="9"/>
      <c r="AD38" s="9"/>
    </row>
    <row r="39" spans="1:30" ht="17" customHeight="1" x14ac:dyDescent="0.35">
      <c r="A39" s="7"/>
      <c r="B39" s="7"/>
      <c r="C39" s="7"/>
      <c r="D39" s="7"/>
      <c r="E39" s="7"/>
      <c r="F39" s="7"/>
      <c r="G39" s="7"/>
      <c r="H39" s="7"/>
      <c r="I39" s="8"/>
      <c r="J39" s="8"/>
      <c r="K39" s="8"/>
      <c r="L39" s="8"/>
      <c r="M39" s="8"/>
      <c r="N39" s="8"/>
      <c r="O39" s="7"/>
      <c r="P39" s="8"/>
      <c r="Q39" s="7"/>
      <c r="R39" s="7"/>
      <c r="S39" s="7"/>
      <c r="T39" s="8"/>
      <c r="U39" s="7"/>
      <c r="V39" s="7"/>
      <c r="W39" s="8"/>
      <c r="X39" s="8"/>
      <c r="Y39" s="8"/>
      <c r="Z39" s="8"/>
      <c r="AA39" s="8"/>
      <c r="AB39" s="9"/>
      <c r="AC39" s="9"/>
      <c r="AD39" s="9"/>
    </row>
    <row r="40" spans="1:30" ht="17" customHeight="1" x14ac:dyDescent="0.35">
      <c r="A40" s="7"/>
      <c r="B40" s="7"/>
      <c r="C40" s="7"/>
      <c r="D40" s="7"/>
      <c r="E40" s="7"/>
      <c r="F40" s="7"/>
      <c r="G40" s="7"/>
      <c r="H40" s="7"/>
      <c r="I40" s="8"/>
      <c r="J40" s="8"/>
      <c r="K40" s="8"/>
      <c r="L40" s="8"/>
      <c r="M40" s="8"/>
      <c r="N40" s="8"/>
      <c r="O40" s="7"/>
      <c r="P40" s="8"/>
      <c r="Q40" s="7"/>
      <c r="R40" s="7"/>
      <c r="S40" s="7"/>
      <c r="T40" s="8"/>
      <c r="U40" s="7"/>
      <c r="V40" s="7"/>
      <c r="W40" s="8"/>
      <c r="X40" s="8"/>
      <c r="Y40" s="8"/>
      <c r="Z40" s="8"/>
      <c r="AA40" s="8"/>
      <c r="AB40" s="9"/>
      <c r="AC40" s="9"/>
      <c r="AD40" s="9"/>
    </row>
    <row r="41" spans="1:30" ht="17" customHeight="1" x14ac:dyDescent="0.35">
      <c r="A41" s="7"/>
      <c r="B41" s="7"/>
      <c r="C41" s="7"/>
      <c r="D41" s="7"/>
      <c r="E41" s="7"/>
      <c r="F41" s="7"/>
      <c r="G41" s="7"/>
      <c r="H41" s="7"/>
      <c r="I41" s="8"/>
      <c r="J41" s="8"/>
      <c r="K41" s="8"/>
      <c r="L41" s="8"/>
      <c r="M41" s="8"/>
      <c r="N41" s="8"/>
      <c r="O41" s="7"/>
      <c r="P41" s="8"/>
      <c r="Q41" s="7"/>
      <c r="R41" s="7"/>
      <c r="S41" s="7"/>
      <c r="T41" s="8"/>
      <c r="U41" s="7"/>
      <c r="V41" s="7"/>
      <c r="W41" s="8"/>
      <c r="X41" s="8"/>
      <c r="Y41" s="8"/>
      <c r="Z41" s="8"/>
      <c r="AA41" s="8"/>
      <c r="AB41" s="9"/>
      <c r="AC41" s="9"/>
      <c r="AD41" s="9"/>
    </row>
    <row r="42" spans="1:30" ht="17" customHeight="1" x14ac:dyDescent="0.35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7"/>
      <c r="P42" s="8"/>
      <c r="Q42" s="7"/>
      <c r="R42" s="7"/>
      <c r="S42" s="7"/>
      <c r="T42" s="8"/>
      <c r="U42" s="7"/>
      <c r="V42" s="7"/>
      <c r="W42" s="8"/>
      <c r="X42" s="8"/>
      <c r="Y42" s="8"/>
      <c r="Z42" s="8"/>
      <c r="AA42" s="8"/>
      <c r="AB42" s="9"/>
      <c r="AC42" s="9"/>
      <c r="AD42" s="9"/>
    </row>
    <row r="43" spans="1:30" ht="17" customHeight="1" x14ac:dyDescent="0.35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7"/>
      <c r="P43" s="8"/>
      <c r="Q43" s="7"/>
      <c r="R43" s="7"/>
      <c r="S43" s="7"/>
      <c r="T43" s="8"/>
      <c r="U43" s="7"/>
      <c r="V43" s="7"/>
      <c r="W43" s="8"/>
      <c r="X43" s="8"/>
      <c r="Y43" s="8"/>
      <c r="Z43" s="8"/>
      <c r="AA43" s="8"/>
      <c r="AB43" s="9"/>
      <c r="AC43" s="9"/>
      <c r="AD43" s="9"/>
    </row>
    <row r="44" spans="1:30" ht="17" customHeight="1" x14ac:dyDescent="0.35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7"/>
      <c r="P44" s="8"/>
      <c r="Q44" s="7"/>
      <c r="R44" s="7"/>
      <c r="S44" s="7"/>
      <c r="T44" s="8"/>
      <c r="U44" s="7"/>
      <c r="V44" s="7"/>
      <c r="W44" s="8"/>
      <c r="X44" s="8"/>
      <c r="Y44" s="8"/>
      <c r="Z44" s="8"/>
      <c r="AA44" s="8"/>
      <c r="AB44" s="9"/>
      <c r="AC44" s="9"/>
      <c r="AD44" s="9"/>
    </row>
    <row r="45" spans="1:30" ht="17" customHeight="1" x14ac:dyDescent="0.35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7"/>
      <c r="P45" s="8"/>
      <c r="Q45" s="7"/>
      <c r="R45" s="7"/>
      <c r="S45" s="7"/>
      <c r="T45" s="8"/>
      <c r="U45" s="7"/>
      <c r="V45" s="7"/>
      <c r="W45" s="8"/>
      <c r="X45" s="8"/>
      <c r="Y45" s="8"/>
      <c r="Z45" s="8"/>
      <c r="AA45" s="8"/>
      <c r="AB45" s="9"/>
      <c r="AC45" s="9"/>
      <c r="AD45" s="9"/>
    </row>
    <row r="46" spans="1:30" ht="17" customHeight="1" x14ac:dyDescent="0.35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7"/>
      <c r="P46" s="8"/>
      <c r="Q46" s="7"/>
      <c r="R46" s="7"/>
      <c r="S46" s="7"/>
      <c r="T46" s="8"/>
      <c r="U46" s="7"/>
      <c r="V46" s="7"/>
      <c r="W46" s="8"/>
      <c r="X46" s="8"/>
      <c r="Y46" s="8"/>
      <c r="Z46" s="8"/>
      <c r="AA46" s="8"/>
      <c r="AB46" s="9"/>
      <c r="AC46" s="9"/>
      <c r="AD46" s="9"/>
    </row>
    <row r="47" spans="1:30" ht="17" customHeight="1" x14ac:dyDescent="0.35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7"/>
      <c r="P47" s="8"/>
      <c r="Q47" s="7"/>
      <c r="R47" s="7"/>
      <c r="S47" s="7"/>
      <c r="T47" s="8"/>
      <c r="U47" s="7"/>
      <c r="V47" s="7"/>
      <c r="W47" s="8"/>
      <c r="X47" s="8"/>
      <c r="Y47" s="8"/>
      <c r="Z47" s="8"/>
      <c r="AA47" s="8"/>
      <c r="AB47" s="9"/>
      <c r="AC47" s="9"/>
      <c r="AD47" s="9"/>
    </row>
    <row r="48" spans="1:30" ht="17" customHeight="1" x14ac:dyDescent="0.35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7"/>
      <c r="P48" s="8"/>
      <c r="Q48" s="7"/>
      <c r="R48" s="7"/>
      <c r="S48" s="7"/>
      <c r="T48" s="8"/>
      <c r="U48" s="7"/>
      <c r="V48" s="7"/>
      <c r="W48" s="8"/>
      <c r="X48" s="8"/>
      <c r="Y48" s="8"/>
      <c r="Z48" s="8"/>
      <c r="AA48" s="8"/>
      <c r="AB48" s="9"/>
      <c r="AC48" s="9"/>
      <c r="AD48" s="9"/>
    </row>
    <row r="49" spans="1:30" ht="17" customHeight="1" x14ac:dyDescent="0.35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7"/>
      <c r="P49" s="8"/>
      <c r="Q49" s="7"/>
      <c r="R49" s="7"/>
      <c r="S49" s="7"/>
      <c r="T49" s="8"/>
      <c r="U49" s="7"/>
      <c r="V49" s="7"/>
      <c r="W49" s="8"/>
      <c r="X49" s="8"/>
      <c r="Y49" s="8"/>
      <c r="Z49" s="8"/>
      <c r="AA49" s="8"/>
      <c r="AB49" s="9"/>
      <c r="AC49" s="9"/>
      <c r="AD49" s="9"/>
    </row>
    <row r="50" spans="1:30" ht="17" customHeight="1" x14ac:dyDescent="0.35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7"/>
      <c r="P50" s="8"/>
      <c r="Q50" s="7"/>
      <c r="R50" s="7"/>
      <c r="S50" s="7"/>
      <c r="T50" s="8"/>
      <c r="U50" s="7"/>
      <c r="V50" s="7"/>
      <c r="W50" s="8"/>
      <c r="X50" s="8"/>
      <c r="Y50" s="8"/>
      <c r="Z50" s="8"/>
      <c r="AA50" s="8"/>
      <c r="AB50" s="9"/>
      <c r="AC50" s="9"/>
      <c r="AD50" s="9"/>
    </row>
    <row r="51" spans="1:30" ht="17" customHeight="1" x14ac:dyDescent="0.35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7"/>
      <c r="P51" s="8"/>
      <c r="Q51" s="7"/>
      <c r="R51" s="7"/>
      <c r="S51" s="7"/>
      <c r="T51" s="8"/>
      <c r="U51" s="7"/>
      <c r="V51" s="7"/>
      <c r="W51" s="8"/>
      <c r="X51" s="8"/>
      <c r="Y51" s="8"/>
      <c r="Z51" s="8"/>
      <c r="AA51" s="8"/>
      <c r="AB51" s="9"/>
      <c r="AC51" s="9"/>
      <c r="AD51" s="9"/>
    </row>
    <row r="52" spans="1:30" ht="17" customHeight="1" x14ac:dyDescent="0.35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7"/>
      <c r="P52" s="8"/>
      <c r="Q52" s="7"/>
      <c r="R52" s="7"/>
      <c r="S52" s="7"/>
      <c r="T52" s="8"/>
      <c r="U52" s="7"/>
      <c r="V52" s="7"/>
      <c r="W52" s="8"/>
      <c r="X52" s="8"/>
      <c r="Y52" s="8"/>
      <c r="Z52" s="8"/>
      <c r="AA52" s="8"/>
      <c r="AB52" s="9"/>
      <c r="AC52" s="9"/>
      <c r="AD52" s="9"/>
    </row>
    <row r="53" spans="1:30" ht="17" customHeight="1" x14ac:dyDescent="0.35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7"/>
      <c r="P53" s="8"/>
      <c r="Q53" s="7"/>
      <c r="R53" s="7"/>
      <c r="S53" s="7"/>
      <c r="T53" s="8"/>
      <c r="U53" s="7"/>
      <c r="V53" s="7"/>
      <c r="W53" s="8"/>
      <c r="X53" s="8"/>
      <c r="Y53" s="8"/>
      <c r="Z53" s="8"/>
      <c r="AA53" s="8"/>
      <c r="AB53" s="9"/>
      <c r="AC53" s="9"/>
      <c r="AD53" s="9"/>
    </row>
    <row r="54" spans="1:30" ht="17" customHeight="1" x14ac:dyDescent="0.35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7"/>
      <c r="P54" s="8"/>
      <c r="Q54" s="7"/>
      <c r="R54" s="7"/>
      <c r="S54" s="7"/>
      <c r="T54" s="8"/>
      <c r="U54" s="7"/>
      <c r="V54" s="7"/>
      <c r="W54" s="8"/>
      <c r="X54" s="8"/>
      <c r="Y54" s="8"/>
      <c r="Z54" s="8"/>
      <c r="AA54" s="8"/>
      <c r="AB54" s="9"/>
      <c r="AC54" s="9"/>
      <c r="AD54" s="9"/>
    </row>
    <row r="55" spans="1:30" ht="17" customHeight="1" x14ac:dyDescent="0.35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7"/>
      <c r="P55" s="8"/>
      <c r="Q55" s="7"/>
      <c r="R55" s="7"/>
      <c r="S55" s="7"/>
      <c r="T55" s="8"/>
      <c r="U55" s="7"/>
      <c r="V55" s="7"/>
      <c r="W55" s="8"/>
      <c r="X55" s="8"/>
      <c r="Y55" s="8"/>
      <c r="Z55" s="8"/>
      <c r="AA55" s="8"/>
      <c r="AB55" s="9"/>
      <c r="AC55" s="9"/>
      <c r="AD55" s="9"/>
    </row>
    <row r="56" spans="1:30" ht="17" customHeight="1" x14ac:dyDescent="0.35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7"/>
      <c r="P56" s="8"/>
      <c r="Q56" s="7"/>
      <c r="R56" s="7"/>
      <c r="S56" s="7"/>
      <c r="T56" s="8"/>
      <c r="U56" s="7"/>
      <c r="V56" s="7"/>
      <c r="W56" s="8"/>
      <c r="X56" s="8"/>
      <c r="Y56" s="8"/>
      <c r="Z56" s="8"/>
      <c r="AA56" s="8"/>
      <c r="AB56" s="9"/>
      <c r="AC56" s="9"/>
      <c r="AD56" s="9"/>
    </row>
    <row r="57" spans="1:30" ht="17" customHeight="1" x14ac:dyDescent="0.35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7"/>
      <c r="P57" s="8"/>
      <c r="Q57" s="7"/>
      <c r="R57" s="7"/>
      <c r="S57" s="7"/>
      <c r="T57" s="8"/>
      <c r="U57" s="7"/>
      <c r="V57" s="7"/>
      <c r="W57" s="8"/>
      <c r="X57" s="8"/>
      <c r="Y57" s="8"/>
      <c r="Z57" s="8"/>
      <c r="AA57" s="8"/>
      <c r="AB57" s="9"/>
      <c r="AC57" s="9"/>
      <c r="AD57" s="9"/>
    </row>
    <row r="58" spans="1:30" ht="17" customHeight="1" x14ac:dyDescent="0.35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7"/>
      <c r="P58" s="8"/>
      <c r="Q58" s="7"/>
      <c r="R58" s="7"/>
      <c r="S58" s="7"/>
      <c r="T58" s="8"/>
      <c r="U58" s="7"/>
      <c r="V58" s="7"/>
      <c r="W58" s="8"/>
      <c r="X58" s="8"/>
      <c r="Y58" s="8"/>
      <c r="Z58" s="8"/>
      <c r="AA58" s="8"/>
      <c r="AB58" s="9"/>
      <c r="AC58" s="9"/>
      <c r="AD58" s="9"/>
    </row>
    <row r="59" spans="1:30" ht="17" customHeight="1" x14ac:dyDescent="0.35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7"/>
      <c r="P59" s="8"/>
      <c r="Q59" s="7"/>
      <c r="R59" s="7"/>
      <c r="S59" s="7"/>
      <c r="T59" s="8"/>
      <c r="U59" s="7"/>
      <c r="V59" s="7"/>
      <c r="W59" s="8"/>
      <c r="X59" s="8"/>
      <c r="Y59" s="8"/>
      <c r="Z59" s="8"/>
      <c r="AA59" s="8"/>
      <c r="AB59" s="9"/>
      <c r="AC59" s="9"/>
      <c r="AD59" s="9"/>
    </row>
    <row r="60" spans="1:30" ht="17" customHeight="1" x14ac:dyDescent="0.35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7"/>
      <c r="P60" s="8"/>
      <c r="Q60" s="7"/>
      <c r="R60" s="7"/>
      <c r="S60" s="7"/>
      <c r="T60" s="8"/>
      <c r="U60" s="7"/>
      <c r="V60" s="7"/>
      <c r="W60" s="8"/>
      <c r="X60" s="8"/>
      <c r="Y60" s="8"/>
      <c r="Z60" s="8"/>
      <c r="AA60" s="8"/>
      <c r="AB60" s="9"/>
      <c r="AC60" s="9"/>
      <c r="AD60" s="9"/>
    </row>
    <row r="61" spans="1:30" ht="17" customHeight="1" x14ac:dyDescent="0.35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7"/>
      <c r="P61" s="8"/>
      <c r="Q61" s="7"/>
      <c r="R61" s="7"/>
      <c r="S61" s="7"/>
      <c r="T61" s="8"/>
      <c r="U61" s="7"/>
      <c r="V61" s="7"/>
      <c r="W61" s="8"/>
      <c r="X61" s="8"/>
      <c r="Y61" s="8"/>
      <c r="Z61" s="8"/>
      <c r="AA61" s="8"/>
      <c r="AB61" s="9"/>
      <c r="AC61" s="9"/>
      <c r="AD61" s="9"/>
    </row>
    <row r="62" spans="1:30" ht="17" customHeight="1" x14ac:dyDescent="0.35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7"/>
      <c r="P62" s="8"/>
      <c r="Q62" s="7"/>
      <c r="R62" s="7"/>
      <c r="S62" s="7"/>
      <c r="T62" s="8"/>
      <c r="U62" s="7"/>
      <c r="V62" s="7"/>
      <c r="W62" s="8"/>
      <c r="X62" s="8"/>
      <c r="Y62" s="8"/>
      <c r="Z62" s="8"/>
      <c r="AA62" s="8"/>
      <c r="AB62" s="9"/>
      <c r="AC62" s="9"/>
      <c r="AD62" s="9"/>
    </row>
    <row r="63" spans="1:30" ht="17" customHeight="1" x14ac:dyDescent="0.35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7"/>
      <c r="P63" s="8"/>
      <c r="Q63" s="7"/>
      <c r="R63" s="7"/>
      <c r="S63" s="7"/>
      <c r="T63" s="8"/>
      <c r="U63" s="7"/>
      <c r="V63" s="7"/>
      <c r="W63" s="8"/>
      <c r="X63" s="8"/>
      <c r="Y63" s="8"/>
      <c r="Z63" s="8"/>
      <c r="AA63" s="8"/>
      <c r="AB63" s="9"/>
      <c r="AC63" s="9"/>
      <c r="AD63" s="9"/>
    </row>
    <row r="64" spans="1:30" ht="17" customHeight="1" x14ac:dyDescent="0.35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7"/>
      <c r="P64" s="8"/>
      <c r="Q64" s="7"/>
      <c r="R64" s="7"/>
      <c r="S64" s="7"/>
      <c r="T64" s="8"/>
      <c r="U64" s="7"/>
      <c r="V64" s="7"/>
      <c r="W64" s="8"/>
      <c r="X64" s="8"/>
      <c r="Y64" s="8"/>
      <c r="Z64" s="8"/>
      <c r="AA64" s="8"/>
      <c r="AB64" s="9"/>
      <c r="AC64" s="9"/>
      <c r="AD64" s="9"/>
    </row>
    <row r="65" spans="1:30" ht="17" customHeight="1" x14ac:dyDescent="0.35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7"/>
      <c r="P65" s="8"/>
      <c r="Q65" s="7"/>
      <c r="R65" s="7"/>
      <c r="S65" s="7"/>
      <c r="T65" s="8"/>
      <c r="U65" s="7"/>
      <c r="V65" s="7"/>
      <c r="W65" s="8"/>
      <c r="X65" s="8"/>
      <c r="Y65" s="8"/>
      <c r="Z65" s="8"/>
      <c r="AA65" s="8"/>
      <c r="AB65" s="9"/>
      <c r="AC65" s="9"/>
      <c r="AD65" s="9"/>
    </row>
    <row r="66" spans="1:30" ht="17" customHeight="1" x14ac:dyDescent="0.35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7"/>
      <c r="P66" s="8"/>
      <c r="Q66" s="7"/>
      <c r="R66" s="7"/>
      <c r="S66" s="7"/>
      <c r="T66" s="8"/>
      <c r="U66" s="7"/>
      <c r="V66" s="7"/>
      <c r="W66" s="8"/>
      <c r="X66" s="8"/>
      <c r="Y66" s="8"/>
      <c r="Z66" s="8"/>
      <c r="AA66" s="8"/>
      <c r="AB66" s="9"/>
      <c r="AC66" s="9"/>
      <c r="AD66" s="9"/>
    </row>
    <row r="67" spans="1:30" ht="17" customHeight="1" x14ac:dyDescent="0.35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7"/>
      <c r="P67" s="8"/>
      <c r="Q67" s="7"/>
      <c r="R67" s="7"/>
      <c r="S67" s="7"/>
      <c r="T67" s="8"/>
      <c r="U67" s="7"/>
      <c r="V67" s="7"/>
      <c r="W67" s="8"/>
      <c r="X67" s="8"/>
      <c r="Y67" s="8"/>
      <c r="Z67" s="8"/>
      <c r="AA67" s="8"/>
      <c r="AB67" s="9"/>
      <c r="AC67" s="9"/>
      <c r="AD67" s="9"/>
    </row>
    <row r="68" spans="1:30" ht="17" customHeight="1" x14ac:dyDescent="0.35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7"/>
      <c r="P68" s="8"/>
      <c r="Q68" s="7"/>
      <c r="R68" s="7"/>
      <c r="S68" s="7"/>
      <c r="T68" s="8"/>
      <c r="U68" s="7"/>
      <c r="V68" s="7"/>
      <c r="W68" s="8"/>
      <c r="X68" s="8"/>
      <c r="Y68" s="8"/>
      <c r="Z68" s="8"/>
      <c r="AA68" s="8"/>
      <c r="AB68" s="9"/>
      <c r="AC68" s="9"/>
      <c r="AD68" s="9"/>
    </row>
    <row r="69" spans="1:30" ht="17" customHeight="1" x14ac:dyDescent="0.35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7"/>
      <c r="P69" s="8"/>
      <c r="Q69" s="7"/>
      <c r="R69" s="7"/>
      <c r="S69" s="7"/>
      <c r="T69" s="8"/>
      <c r="U69" s="7"/>
      <c r="V69" s="7"/>
      <c r="W69" s="8"/>
      <c r="X69" s="8"/>
      <c r="Y69" s="8"/>
      <c r="Z69" s="8"/>
      <c r="AA69" s="8"/>
      <c r="AB69" s="9"/>
      <c r="AC69" s="9"/>
      <c r="AD69" s="9"/>
    </row>
    <row r="70" spans="1:30" ht="17" customHeight="1" x14ac:dyDescent="0.35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7"/>
      <c r="P70" s="8"/>
      <c r="Q70" s="7"/>
      <c r="R70" s="7"/>
      <c r="S70" s="7"/>
      <c r="T70" s="8"/>
      <c r="U70" s="7"/>
      <c r="V70" s="7"/>
      <c r="W70" s="8"/>
      <c r="X70" s="8"/>
      <c r="Y70" s="8"/>
      <c r="Z70" s="8"/>
      <c r="AA70" s="8"/>
      <c r="AB70" s="9"/>
      <c r="AC70" s="9"/>
      <c r="AD70" s="9"/>
    </row>
    <row r="71" spans="1:30" ht="17" customHeight="1" x14ac:dyDescent="0.35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7"/>
      <c r="P71" s="8"/>
      <c r="Q71" s="7"/>
      <c r="R71" s="7"/>
      <c r="S71" s="7"/>
      <c r="T71" s="8"/>
      <c r="U71" s="7"/>
      <c r="V71" s="7"/>
      <c r="W71" s="8"/>
      <c r="X71" s="8"/>
      <c r="Y71" s="8"/>
      <c r="Z71" s="8"/>
      <c r="AA71" s="8"/>
      <c r="AB71" s="9"/>
      <c r="AC71" s="9"/>
      <c r="AD71" s="9"/>
    </row>
    <row r="72" spans="1:30" ht="17" customHeight="1" x14ac:dyDescent="0.35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7"/>
      <c r="P72" s="8"/>
      <c r="Q72" s="7"/>
      <c r="R72" s="7"/>
      <c r="S72" s="7"/>
      <c r="T72" s="8"/>
      <c r="U72" s="7"/>
      <c r="V72" s="7"/>
      <c r="W72" s="8"/>
      <c r="X72" s="8"/>
      <c r="Y72" s="8"/>
      <c r="Z72" s="8"/>
      <c r="AA72" s="8"/>
      <c r="AB72" s="9"/>
      <c r="AC72" s="9"/>
      <c r="AD72" s="9"/>
    </row>
    <row r="73" spans="1:30" ht="17" customHeight="1" x14ac:dyDescent="0.35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7"/>
      <c r="P73" s="8"/>
      <c r="Q73" s="7"/>
      <c r="R73" s="7"/>
      <c r="S73" s="7"/>
      <c r="T73" s="8"/>
      <c r="U73" s="7"/>
      <c r="V73" s="7"/>
      <c r="W73" s="8"/>
      <c r="X73" s="8"/>
      <c r="Y73" s="8"/>
      <c r="Z73" s="8"/>
      <c r="AA73" s="8"/>
      <c r="AB73" s="9"/>
      <c r="AC73" s="9"/>
      <c r="AD73" s="9"/>
    </row>
    <row r="74" spans="1:30" ht="17" customHeight="1" x14ac:dyDescent="0.35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7"/>
      <c r="P74" s="8"/>
      <c r="Q74" s="7"/>
      <c r="R74" s="7"/>
      <c r="S74" s="7"/>
      <c r="T74" s="8"/>
      <c r="U74" s="7"/>
      <c r="V74" s="7"/>
      <c r="W74" s="8"/>
      <c r="X74" s="8"/>
      <c r="Y74" s="8"/>
      <c r="Z74" s="8"/>
      <c r="AA74" s="8"/>
      <c r="AB74" s="9"/>
      <c r="AC74" s="9"/>
      <c r="AD74" s="9"/>
    </row>
    <row r="75" spans="1:30" ht="17" customHeight="1" x14ac:dyDescent="0.35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7"/>
      <c r="P75" s="8"/>
      <c r="Q75" s="7"/>
      <c r="R75" s="7"/>
      <c r="S75" s="7"/>
      <c r="T75" s="8"/>
      <c r="U75" s="7"/>
      <c r="V75" s="7"/>
      <c r="W75" s="8"/>
      <c r="X75" s="8"/>
      <c r="Y75" s="8"/>
      <c r="Z75" s="8"/>
      <c r="AA75" s="8"/>
      <c r="AB75" s="9"/>
      <c r="AC75" s="9"/>
      <c r="AD75" s="9"/>
    </row>
    <row r="76" spans="1:30" ht="17" customHeight="1" x14ac:dyDescent="0.35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7"/>
      <c r="P76" s="8"/>
      <c r="Q76" s="7"/>
      <c r="R76" s="7"/>
      <c r="S76" s="7"/>
      <c r="T76" s="8"/>
      <c r="U76" s="7"/>
      <c r="V76" s="7"/>
      <c r="W76" s="8"/>
      <c r="X76" s="8"/>
      <c r="Y76" s="8"/>
      <c r="Z76" s="8"/>
      <c r="AA76" s="8"/>
      <c r="AB76" s="9"/>
      <c r="AC76" s="9"/>
      <c r="AD76" s="9"/>
    </row>
    <row r="77" spans="1:30" ht="17" customHeight="1" x14ac:dyDescent="0.35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7"/>
      <c r="P77" s="8"/>
      <c r="Q77" s="7"/>
      <c r="R77" s="7"/>
      <c r="S77" s="7"/>
      <c r="T77" s="8"/>
      <c r="U77" s="7"/>
      <c r="V77" s="7"/>
      <c r="W77" s="8"/>
      <c r="X77" s="8"/>
      <c r="Y77" s="8"/>
      <c r="Z77" s="8"/>
      <c r="AA77" s="8"/>
      <c r="AB77" s="9"/>
      <c r="AC77" s="9"/>
      <c r="AD77" s="9"/>
    </row>
    <row r="78" spans="1:30" ht="17" customHeight="1" x14ac:dyDescent="0.35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7"/>
      <c r="P78" s="8"/>
      <c r="Q78" s="7"/>
      <c r="R78" s="7"/>
      <c r="S78" s="7"/>
      <c r="T78" s="8"/>
      <c r="U78" s="7"/>
      <c r="V78" s="7"/>
      <c r="W78" s="8"/>
      <c r="X78" s="8"/>
      <c r="Y78" s="8"/>
      <c r="Z78" s="8"/>
      <c r="AA78" s="8"/>
      <c r="AB78" s="9"/>
      <c r="AC78" s="9"/>
      <c r="AD78" s="9"/>
    </row>
    <row r="79" spans="1:30" ht="17" customHeight="1" x14ac:dyDescent="0.35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7"/>
      <c r="P79" s="8"/>
      <c r="Q79" s="7"/>
      <c r="R79" s="7"/>
      <c r="S79" s="7"/>
      <c r="T79" s="8"/>
      <c r="U79" s="7"/>
      <c r="V79" s="7"/>
      <c r="W79" s="8"/>
      <c r="X79" s="8"/>
      <c r="Y79" s="8"/>
      <c r="Z79" s="8"/>
      <c r="AA79" s="8"/>
      <c r="AB79" s="9"/>
      <c r="AC79" s="9"/>
      <c r="AD79" s="9"/>
    </row>
    <row r="80" spans="1:30" ht="17" customHeight="1" x14ac:dyDescent="0.35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7"/>
      <c r="P80" s="8"/>
      <c r="Q80" s="7"/>
      <c r="R80" s="7"/>
      <c r="S80" s="7"/>
      <c r="T80" s="8"/>
      <c r="U80" s="7"/>
      <c r="V80" s="7"/>
      <c r="W80" s="8"/>
      <c r="X80" s="8"/>
      <c r="Y80" s="8"/>
      <c r="Z80" s="8"/>
      <c r="AA80" s="8"/>
      <c r="AB80" s="9"/>
      <c r="AC80" s="9"/>
      <c r="AD80" s="9"/>
    </row>
    <row r="81" spans="1:30" ht="17" customHeight="1" x14ac:dyDescent="0.35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7"/>
      <c r="P81" s="8"/>
      <c r="Q81" s="7"/>
      <c r="R81" s="7"/>
      <c r="S81" s="7"/>
      <c r="T81" s="8"/>
      <c r="U81" s="7"/>
      <c r="V81" s="7"/>
      <c r="W81" s="8"/>
      <c r="X81" s="8"/>
      <c r="Y81" s="8"/>
      <c r="Z81" s="8"/>
      <c r="AA81" s="8"/>
      <c r="AB81" s="9"/>
      <c r="AC81" s="9"/>
      <c r="AD81" s="9"/>
    </row>
    <row r="82" spans="1:30" ht="17" customHeight="1" x14ac:dyDescent="0.35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7"/>
      <c r="P82" s="8"/>
      <c r="Q82" s="7"/>
      <c r="R82" s="7"/>
      <c r="S82" s="7"/>
      <c r="T82" s="8"/>
      <c r="U82" s="7"/>
      <c r="V82" s="7"/>
      <c r="W82" s="8"/>
      <c r="X82" s="8"/>
      <c r="Y82" s="8"/>
      <c r="Z82" s="8"/>
      <c r="AA82" s="8"/>
      <c r="AB82" s="9"/>
      <c r="AC82" s="9"/>
      <c r="AD82" s="9"/>
    </row>
    <row r="83" spans="1:30" ht="17" customHeight="1" x14ac:dyDescent="0.35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7"/>
      <c r="P83" s="8"/>
      <c r="Q83" s="7"/>
      <c r="R83" s="7"/>
      <c r="S83" s="7"/>
      <c r="T83" s="8"/>
      <c r="U83" s="7"/>
      <c r="V83" s="7"/>
      <c r="W83" s="8"/>
      <c r="X83" s="8"/>
      <c r="Y83" s="8"/>
      <c r="Z83" s="8"/>
      <c r="AA83" s="8"/>
      <c r="AB83" s="9"/>
      <c r="AC83" s="9"/>
      <c r="AD83" s="9"/>
    </row>
    <row r="84" spans="1:30" ht="17" customHeight="1" x14ac:dyDescent="0.35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7"/>
      <c r="P84" s="8"/>
      <c r="Q84" s="7"/>
      <c r="R84" s="7"/>
      <c r="S84" s="7"/>
      <c r="T84" s="8"/>
      <c r="U84" s="7"/>
      <c r="V84" s="7"/>
      <c r="W84" s="8"/>
      <c r="X84" s="8"/>
      <c r="Y84" s="8"/>
      <c r="Z84" s="8"/>
      <c r="AA84" s="8"/>
      <c r="AB84" s="9"/>
      <c r="AC84" s="9"/>
      <c r="AD84" s="9"/>
    </row>
    <row r="85" spans="1:30" ht="17" customHeight="1" x14ac:dyDescent="0.35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7"/>
      <c r="P85" s="8"/>
      <c r="Q85" s="7"/>
      <c r="R85" s="7"/>
      <c r="S85" s="7"/>
      <c r="T85" s="8"/>
      <c r="U85" s="7"/>
      <c r="V85" s="7"/>
      <c r="W85" s="8"/>
      <c r="X85" s="8"/>
      <c r="Y85" s="8"/>
      <c r="Z85" s="8"/>
      <c r="AA85" s="8"/>
      <c r="AB85" s="9"/>
      <c r="AC85" s="9"/>
      <c r="AD85" s="9"/>
    </row>
    <row r="86" spans="1:30" ht="17" customHeight="1" x14ac:dyDescent="0.35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7"/>
      <c r="P86" s="8"/>
      <c r="Q86" s="7"/>
      <c r="R86" s="7"/>
      <c r="S86" s="7"/>
      <c r="T86" s="8"/>
      <c r="U86" s="7"/>
      <c r="V86" s="7"/>
      <c r="W86" s="8"/>
      <c r="X86" s="8"/>
      <c r="Y86" s="8"/>
      <c r="Z86" s="8"/>
      <c r="AA86" s="8"/>
      <c r="AB86" s="9"/>
      <c r="AC86" s="9"/>
      <c r="AD86" s="9"/>
    </row>
    <row r="87" spans="1:30" ht="17" customHeight="1" x14ac:dyDescent="0.35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7"/>
      <c r="P87" s="8"/>
      <c r="Q87" s="7"/>
      <c r="R87" s="7"/>
      <c r="S87" s="7"/>
      <c r="T87" s="8"/>
      <c r="U87" s="7"/>
      <c r="V87" s="7"/>
      <c r="W87" s="8"/>
      <c r="X87" s="8"/>
      <c r="Y87" s="8"/>
      <c r="Z87" s="8"/>
      <c r="AA87" s="8"/>
      <c r="AB87" s="9"/>
      <c r="AC87" s="9"/>
      <c r="AD87" s="9"/>
    </row>
    <row r="88" spans="1:30" ht="17" customHeight="1" x14ac:dyDescent="0.35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7"/>
      <c r="P88" s="8"/>
      <c r="Q88" s="7"/>
      <c r="R88" s="7"/>
      <c r="S88" s="7"/>
      <c r="T88" s="8"/>
      <c r="U88" s="7"/>
      <c r="V88" s="7"/>
      <c r="W88" s="8"/>
      <c r="X88" s="8"/>
      <c r="Y88" s="8"/>
      <c r="Z88" s="8"/>
      <c r="AA88" s="8"/>
      <c r="AB88" s="9"/>
      <c r="AC88" s="9"/>
      <c r="AD88" s="9"/>
    </row>
    <row r="89" spans="1:30" ht="17" customHeight="1" x14ac:dyDescent="0.35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7"/>
      <c r="P89" s="8"/>
      <c r="Q89" s="7"/>
      <c r="R89" s="7"/>
      <c r="S89" s="7"/>
      <c r="T89" s="8"/>
      <c r="U89" s="7"/>
      <c r="V89" s="7"/>
      <c r="W89" s="8"/>
      <c r="X89" s="8"/>
      <c r="Y89" s="8"/>
      <c r="Z89" s="8"/>
      <c r="AA89" s="8"/>
      <c r="AB89" s="9"/>
      <c r="AC89" s="9"/>
      <c r="AD89" s="9"/>
    </row>
    <row r="90" spans="1:30" ht="17" customHeight="1" x14ac:dyDescent="0.35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7"/>
      <c r="P90" s="8"/>
      <c r="Q90" s="7"/>
      <c r="R90" s="7"/>
      <c r="S90" s="7"/>
      <c r="T90" s="8"/>
      <c r="U90" s="7"/>
      <c r="V90" s="7"/>
      <c r="W90" s="8"/>
      <c r="X90" s="8"/>
      <c r="Y90" s="8"/>
      <c r="Z90" s="8"/>
      <c r="AA90" s="8"/>
      <c r="AB90" s="9"/>
      <c r="AC90" s="9"/>
      <c r="AD90" s="9"/>
    </row>
    <row r="91" spans="1:30" ht="17" customHeight="1" x14ac:dyDescent="0.35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7"/>
      <c r="P91" s="8"/>
      <c r="Q91" s="7"/>
      <c r="R91" s="7"/>
      <c r="S91" s="7"/>
      <c r="T91" s="8"/>
      <c r="U91" s="7"/>
      <c r="V91" s="7"/>
      <c r="W91" s="8"/>
      <c r="X91" s="8"/>
      <c r="Y91" s="8"/>
      <c r="Z91" s="8"/>
      <c r="AA91" s="8"/>
      <c r="AB91" s="9"/>
      <c r="AC91" s="9"/>
      <c r="AD91" s="9"/>
    </row>
    <row r="92" spans="1:30" ht="17" customHeight="1" x14ac:dyDescent="0.35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7"/>
      <c r="P92" s="8"/>
      <c r="Q92" s="7"/>
      <c r="R92" s="7"/>
      <c r="S92" s="7"/>
      <c r="T92" s="8"/>
      <c r="U92" s="7"/>
      <c r="V92" s="7"/>
      <c r="W92" s="8"/>
      <c r="X92" s="8"/>
      <c r="Y92" s="8"/>
      <c r="Z92" s="8"/>
      <c r="AA92" s="8"/>
      <c r="AB92" s="9"/>
      <c r="AC92" s="9"/>
      <c r="AD92" s="9"/>
    </row>
    <row r="93" spans="1:30" ht="17" customHeight="1" x14ac:dyDescent="0.35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7"/>
      <c r="P93" s="8"/>
      <c r="Q93" s="7"/>
      <c r="R93" s="7"/>
      <c r="S93" s="7"/>
      <c r="T93" s="8"/>
      <c r="U93" s="7"/>
      <c r="V93" s="7"/>
      <c r="W93" s="8"/>
      <c r="X93" s="8"/>
      <c r="Y93" s="8"/>
      <c r="Z93" s="8"/>
      <c r="AA93" s="8"/>
      <c r="AB93" s="9"/>
      <c r="AC93" s="9"/>
      <c r="AD93" s="9"/>
    </row>
    <row r="94" spans="1:30" ht="17" customHeight="1" x14ac:dyDescent="0.35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7"/>
      <c r="P94" s="8"/>
      <c r="Q94" s="7"/>
      <c r="R94" s="7"/>
      <c r="S94" s="7"/>
      <c r="T94" s="8"/>
      <c r="U94" s="7"/>
      <c r="V94" s="7"/>
      <c r="W94" s="8"/>
      <c r="X94" s="8"/>
      <c r="Y94" s="8"/>
      <c r="Z94" s="8"/>
      <c r="AA94" s="8"/>
      <c r="AB94" s="9"/>
      <c r="AC94" s="9"/>
      <c r="AD94" s="9"/>
    </row>
    <row r="95" spans="1:30" ht="17" customHeight="1" x14ac:dyDescent="0.35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7"/>
      <c r="P95" s="8"/>
      <c r="Q95" s="7"/>
      <c r="R95" s="7"/>
      <c r="S95" s="7"/>
      <c r="T95" s="8"/>
      <c r="U95" s="7"/>
      <c r="V95" s="7"/>
      <c r="W95" s="8"/>
      <c r="X95" s="8"/>
      <c r="Y95" s="8"/>
      <c r="Z95" s="8"/>
      <c r="AA95" s="8"/>
      <c r="AB95" s="9"/>
      <c r="AC95" s="9"/>
      <c r="AD95" s="9"/>
    </row>
    <row r="96" spans="1:30" ht="17" customHeight="1" x14ac:dyDescent="0.35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7"/>
      <c r="P96" s="8"/>
      <c r="Q96" s="7"/>
      <c r="R96" s="7"/>
      <c r="S96" s="7"/>
      <c r="T96" s="8"/>
      <c r="U96" s="7"/>
      <c r="V96" s="7"/>
      <c r="W96" s="8"/>
      <c r="X96" s="8"/>
      <c r="Y96" s="8"/>
      <c r="Z96" s="8"/>
      <c r="AA96" s="8"/>
      <c r="AB96" s="9"/>
      <c r="AC96" s="9"/>
      <c r="AD96" s="9"/>
    </row>
    <row r="97" spans="1:30" ht="17" customHeight="1" x14ac:dyDescent="0.35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7"/>
      <c r="P97" s="8"/>
      <c r="Q97" s="7"/>
      <c r="R97" s="7"/>
      <c r="S97" s="7"/>
      <c r="T97" s="8"/>
      <c r="U97" s="7"/>
      <c r="V97" s="7"/>
      <c r="W97" s="8"/>
      <c r="X97" s="8"/>
      <c r="Y97" s="8"/>
      <c r="Z97" s="8"/>
      <c r="AA97" s="8"/>
      <c r="AB97" s="9"/>
      <c r="AC97" s="9"/>
      <c r="AD97" s="9"/>
    </row>
    <row r="98" spans="1:30" ht="17" customHeight="1" x14ac:dyDescent="0.35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7"/>
      <c r="P98" s="8"/>
      <c r="Q98" s="7"/>
      <c r="R98" s="7"/>
      <c r="S98" s="7"/>
      <c r="T98" s="8"/>
      <c r="U98" s="7"/>
      <c r="V98" s="7"/>
      <c r="W98" s="8"/>
      <c r="X98" s="8"/>
      <c r="Y98" s="8"/>
      <c r="Z98" s="8"/>
      <c r="AA98" s="8"/>
      <c r="AB98" s="9"/>
      <c r="AC98" s="9"/>
      <c r="AD98" s="9"/>
    </row>
    <row r="99" spans="1:30" ht="17" customHeight="1" x14ac:dyDescent="0.35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7"/>
      <c r="P99" s="8"/>
      <c r="Q99" s="7"/>
      <c r="R99" s="7"/>
      <c r="S99" s="7"/>
      <c r="T99" s="8"/>
      <c r="U99" s="7"/>
      <c r="V99" s="7"/>
      <c r="W99" s="8"/>
      <c r="X99" s="8"/>
      <c r="Y99" s="8"/>
      <c r="Z99" s="8"/>
      <c r="AA99" s="8"/>
      <c r="AB99" s="9"/>
      <c r="AC99" s="9"/>
      <c r="AD99" s="9"/>
    </row>
    <row r="100" spans="1:30" ht="17" customHeight="1" x14ac:dyDescent="0.35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7"/>
      <c r="P100" s="8"/>
      <c r="Q100" s="7"/>
      <c r="R100" s="7"/>
      <c r="S100" s="7"/>
      <c r="T100" s="8"/>
      <c r="U100" s="7"/>
      <c r="V100" s="7"/>
      <c r="W100" s="8"/>
      <c r="X100" s="8"/>
      <c r="Y100" s="8"/>
      <c r="Z100" s="8"/>
      <c r="AA100" s="8"/>
      <c r="AB100" s="9"/>
      <c r="AC100" s="9"/>
      <c r="AD100" s="9"/>
    </row>
    <row r="101" spans="1:30" ht="17" customHeight="1" x14ac:dyDescent="0.35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7"/>
      <c r="P101" s="8"/>
      <c r="Q101" s="7"/>
      <c r="R101" s="7"/>
      <c r="S101" s="7"/>
      <c r="T101" s="8"/>
      <c r="U101" s="7"/>
      <c r="V101" s="7"/>
      <c r="W101" s="8"/>
      <c r="X101" s="8"/>
      <c r="Y101" s="8"/>
      <c r="Z101" s="8"/>
      <c r="AA101" s="8"/>
      <c r="AB101" s="9"/>
      <c r="AC101" s="9"/>
      <c r="AD101" s="9"/>
    </row>
    <row r="102" spans="1:30" ht="17" customHeight="1" x14ac:dyDescent="0.35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7"/>
      <c r="P102" s="8"/>
      <c r="Q102" s="7"/>
      <c r="R102" s="7"/>
      <c r="S102" s="7"/>
      <c r="T102" s="8"/>
      <c r="U102" s="7"/>
      <c r="V102" s="7"/>
      <c r="W102" s="8"/>
      <c r="X102" s="8"/>
      <c r="Y102" s="8"/>
      <c r="Z102" s="8"/>
      <c r="AA102" s="8"/>
      <c r="AB102" s="9"/>
      <c r="AC102" s="9"/>
      <c r="AD102" s="9"/>
    </row>
    <row r="103" spans="1:30" ht="17" customHeight="1" x14ac:dyDescent="0.35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7"/>
      <c r="P103" s="8"/>
      <c r="Q103" s="7"/>
      <c r="R103" s="7"/>
      <c r="S103" s="7"/>
      <c r="T103" s="8"/>
      <c r="U103" s="7"/>
      <c r="V103" s="7"/>
      <c r="W103" s="8"/>
      <c r="X103" s="8"/>
      <c r="Y103" s="8"/>
      <c r="Z103" s="8"/>
      <c r="AA103" s="8"/>
      <c r="AB103" s="9"/>
      <c r="AC103" s="9"/>
      <c r="AD103" s="9"/>
    </row>
    <row r="104" spans="1:30" ht="17" customHeight="1" x14ac:dyDescent="0.35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7"/>
      <c r="P104" s="8"/>
      <c r="Q104" s="7"/>
      <c r="R104" s="7"/>
      <c r="S104" s="7"/>
      <c r="T104" s="8"/>
      <c r="U104" s="7"/>
      <c r="V104" s="7"/>
      <c r="W104" s="8"/>
      <c r="X104" s="8"/>
      <c r="Y104" s="8"/>
      <c r="Z104" s="8"/>
      <c r="AA104" s="8"/>
      <c r="AB104" s="9"/>
      <c r="AC104" s="9"/>
      <c r="AD104" s="9"/>
    </row>
    <row r="105" spans="1:30" ht="17" customHeight="1" x14ac:dyDescent="0.35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7"/>
      <c r="P105" s="8"/>
      <c r="Q105" s="7"/>
      <c r="R105" s="7"/>
      <c r="S105" s="7"/>
      <c r="T105" s="8"/>
      <c r="U105" s="7"/>
      <c r="V105" s="7"/>
      <c r="W105" s="8"/>
      <c r="X105" s="8"/>
      <c r="Y105" s="8"/>
      <c r="Z105" s="8"/>
      <c r="AA105" s="8"/>
      <c r="AB105" s="9"/>
      <c r="AC105" s="9"/>
      <c r="AD105" s="9"/>
    </row>
    <row r="106" spans="1:30" ht="17" customHeight="1" x14ac:dyDescent="0.35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7"/>
      <c r="P106" s="8"/>
      <c r="Q106" s="7"/>
      <c r="R106" s="7"/>
      <c r="S106" s="7"/>
      <c r="T106" s="8"/>
      <c r="U106" s="7"/>
      <c r="V106" s="7"/>
      <c r="W106" s="8"/>
      <c r="X106" s="8"/>
      <c r="Y106" s="8"/>
      <c r="Z106" s="8"/>
      <c r="AA106" s="8"/>
      <c r="AB106" s="9"/>
      <c r="AC106" s="9"/>
      <c r="AD106" s="9"/>
    </row>
    <row r="107" spans="1:30" ht="17" customHeight="1" x14ac:dyDescent="0.35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7"/>
      <c r="P107" s="8"/>
      <c r="Q107" s="7"/>
      <c r="R107" s="7"/>
      <c r="S107" s="7"/>
      <c r="T107" s="8"/>
      <c r="U107" s="7"/>
      <c r="V107" s="7"/>
      <c r="W107" s="8"/>
      <c r="X107" s="8"/>
      <c r="Y107" s="8"/>
      <c r="Z107" s="8"/>
      <c r="AA107" s="8"/>
      <c r="AB107" s="9"/>
      <c r="AC107" s="9"/>
      <c r="AD107" s="9"/>
    </row>
    <row r="108" spans="1:30" ht="17" customHeight="1" x14ac:dyDescent="0.35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7"/>
      <c r="P108" s="8"/>
      <c r="Q108" s="7"/>
      <c r="R108" s="7"/>
      <c r="S108" s="7"/>
      <c r="T108" s="8"/>
      <c r="U108" s="7"/>
      <c r="V108" s="7"/>
      <c r="W108" s="8"/>
      <c r="X108" s="8"/>
      <c r="Y108" s="8"/>
      <c r="Z108" s="8"/>
      <c r="AA108" s="8"/>
      <c r="AB108" s="9"/>
      <c r="AC108" s="9"/>
      <c r="AD108" s="9"/>
    </row>
    <row r="109" spans="1:30" ht="17" customHeight="1" x14ac:dyDescent="0.35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7"/>
      <c r="P109" s="8"/>
      <c r="Q109" s="7"/>
      <c r="R109" s="7"/>
      <c r="S109" s="7"/>
      <c r="T109" s="8"/>
      <c r="U109" s="7"/>
      <c r="V109" s="7"/>
      <c r="W109" s="8"/>
      <c r="X109" s="8"/>
      <c r="Y109" s="8"/>
      <c r="Z109" s="8"/>
      <c r="AA109" s="8"/>
      <c r="AB109" s="9"/>
      <c r="AC109" s="9"/>
      <c r="AD109" s="9"/>
    </row>
    <row r="110" spans="1:30" ht="17" customHeight="1" x14ac:dyDescent="0.35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7"/>
      <c r="P110" s="8"/>
      <c r="Q110" s="7"/>
      <c r="R110" s="7"/>
      <c r="S110" s="7"/>
      <c r="T110" s="8"/>
      <c r="U110" s="7"/>
      <c r="V110" s="7"/>
      <c r="W110" s="8"/>
      <c r="X110" s="8"/>
      <c r="Y110" s="8"/>
      <c r="Z110" s="8"/>
      <c r="AA110" s="8"/>
      <c r="AB110" s="9"/>
      <c r="AC110" s="9"/>
      <c r="AD110" s="9"/>
    </row>
    <row r="111" spans="1:30" ht="17" customHeight="1" x14ac:dyDescent="0.35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7"/>
      <c r="P111" s="8"/>
      <c r="Q111" s="7"/>
      <c r="R111" s="7"/>
      <c r="S111" s="7"/>
      <c r="T111" s="8"/>
      <c r="U111" s="7"/>
      <c r="V111" s="7"/>
      <c r="W111" s="8"/>
      <c r="X111" s="8"/>
      <c r="Y111" s="8"/>
      <c r="Z111" s="8"/>
      <c r="AA111" s="8"/>
      <c r="AB111" s="9"/>
      <c r="AC111" s="9"/>
      <c r="AD111" s="9"/>
    </row>
    <row r="112" spans="1:30" ht="17" customHeight="1" x14ac:dyDescent="0.35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7"/>
      <c r="P112" s="8"/>
      <c r="Q112" s="7"/>
      <c r="R112" s="7"/>
      <c r="S112" s="7"/>
      <c r="T112" s="8"/>
      <c r="U112" s="7"/>
      <c r="V112" s="7"/>
      <c r="W112" s="8"/>
      <c r="X112" s="8"/>
      <c r="Y112" s="8"/>
      <c r="Z112" s="8"/>
      <c r="AA112" s="8"/>
      <c r="AB112" s="9"/>
      <c r="AC112" s="9"/>
      <c r="AD112" s="9"/>
    </row>
    <row r="113" spans="1:30" ht="17" customHeight="1" x14ac:dyDescent="0.35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7"/>
      <c r="P113" s="8"/>
      <c r="Q113" s="7"/>
      <c r="R113" s="7"/>
      <c r="S113" s="7"/>
      <c r="T113" s="8"/>
      <c r="U113" s="7"/>
      <c r="V113" s="7"/>
      <c r="W113" s="8"/>
      <c r="X113" s="8"/>
      <c r="Y113" s="8"/>
      <c r="Z113" s="8"/>
      <c r="AA113" s="8"/>
      <c r="AB113" s="9"/>
      <c r="AC113" s="9"/>
      <c r="AD113" s="9"/>
    </row>
    <row r="114" spans="1:30" ht="17" customHeight="1" x14ac:dyDescent="0.35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7"/>
      <c r="P114" s="8"/>
      <c r="Q114" s="7"/>
      <c r="R114" s="7"/>
      <c r="S114" s="7"/>
      <c r="T114" s="8"/>
      <c r="U114" s="7"/>
      <c r="V114" s="7"/>
      <c r="W114" s="8"/>
      <c r="X114" s="8"/>
      <c r="Y114" s="8"/>
      <c r="Z114" s="8"/>
      <c r="AA114" s="8"/>
      <c r="AB114" s="9"/>
      <c r="AC114" s="9"/>
      <c r="AD114" s="9"/>
    </row>
    <row r="115" spans="1:30" ht="17" customHeight="1" x14ac:dyDescent="0.35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7"/>
      <c r="P115" s="8"/>
      <c r="Q115" s="7"/>
      <c r="R115" s="7"/>
      <c r="S115" s="7"/>
      <c r="T115" s="8"/>
      <c r="U115" s="7"/>
      <c r="V115" s="7"/>
      <c r="W115" s="8"/>
      <c r="X115" s="8"/>
      <c r="Y115" s="8"/>
      <c r="Z115" s="8"/>
      <c r="AA115" s="8"/>
      <c r="AB115" s="9"/>
      <c r="AC115" s="9"/>
      <c r="AD115" s="9"/>
    </row>
    <row r="116" spans="1:30" ht="17" customHeight="1" x14ac:dyDescent="0.35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7"/>
      <c r="P116" s="8"/>
      <c r="Q116" s="7"/>
      <c r="R116" s="7"/>
      <c r="S116" s="7"/>
      <c r="T116" s="8"/>
      <c r="U116" s="7"/>
      <c r="V116" s="7"/>
      <c r="W116" s="8"/>
      <c r="X116" s="8"/>
      <c r="Y116" s="8"/>
      <c r="Z116" s="8"/>
      <c r="AA116" s="8"/>
      <c r="AB116" s="9"/>
      <c r="AC116" s="9"/>
      <c r="AD116" s="9"/>
    </row>
    <row r="117" spans="1:30" ht="17" customHeight="1" x14ac:dyDescent="0.35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7"/>
      <c r="P117" s="8"/>
      <c r="Q117" s="7"/>
      <c r="R117" s="7"/>
      <c r="S117" s="7"/>
      <c r="T117" s="8"/>
      <c r="U117" s="7"/>
      <c r="V117" s="7"/>
      <c r="W117" s="8"/>
      <c r="X117" s="8"/>
      <c r="Y117" s="8"/>
      <c r="Z117" s="8"/>
      <c r="AA117" s="8"/>
      <c r="AB117" s="9"/>
      <c r="AC117" s="9"/>
      <c r="AD117" s="9"/>
    </row>
    <row r="118" spans="1:30" ht="17" customHeight="1" x14ac:dyDescent="0.35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7"/>
      <c r="P118" s="8"/>
      <c r="Q118" s="7"/>
      <c r="R118" s="7"/>
      <c r="S118" s="7"/>
      <c r="T118" s="8"/>
      <c r="U118" s="7"/>
      <c r="V118" s="7"/>
      <c r="W118" s="8"/>
      <c r="X118" s="8"/>
      <c r="Y118" s="8"/>
      <c r="Z118" s="8"/>
      <c r="AA118" s="8"/>
      <c r="AB118" s="9"/>
      <c r="AC118" s="9"/>
      <c r="AD118" s="9"/>
    </row>
    <row r="119" spans="1:30" ht="17" customHeight="1" x14ac:dyDescent="0.35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7"/>
      <c r="P119" s="8"/>
      <c r="Q119" s="7"/>
      <c r="R119" s="7"/>
      <c r="S119" s="7"/>
      <c r="T119" s="8"/>
      <c r="U119" s="7"/>
      <c r="V119" s="7"/>
      <c r="W119" s="8"/>
      <c r="X119" s="8"/>
      <c r="Y119" s="8"/>
      <c r="Z119" s="8"/>
      <c r="AA119" s="8"/>
      <c r="AB119" s="9"/>
      <c r="AC119" s="9"/>
      <c r="AD119" s="9"/>
    </row>
    <row r="120" spans="1:30" ht="17" customHeight="1" x14ac:dyDescent="0.35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7"/>
      <c r="P120" s="8"/>
      <c r="Q120" s="7"/>
      <c r="R120" s="7"/>
      <c r="S120" s="7"/>
      <c r="T120" s="8"/>
      <c r="U120" s="7"/>
      <c r="V120" s="7"/>
      <c r="W120" s="8"/>
      <c r="X120" s="8"/>
      <c r="Y120" s="8"/>
      <c r="Z120" s="8"/>
      <c r="AA120" s="8"/>
      <c r="AB120" s="9"/>
      <c r="AC120" s="9"/>
      <c r="AD120" s="9"/>
    </row>
    <row r="121" spans="1:30" ht="17" customHeight="1" x14ac:dyDescent="0.35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7"/>
      <c r="P121" s="8"/>
      <c r="Q121" s="7"/>
      <c r="R121" s="7"/>
      <c r="S121" s="7"/>
      <c r="T121" s="8"/>
      <c r="U121" s="7"/>
      <c r="V121" s="7"/>
      <c r="W121" s="8"/>
      <c r="X121" s="8"/>
      <c r="Y121" s="8"/>
      <c r="Z121" s="8"/>
      <c r="AA121" s="8"/>
      <c r="AB121" s="9"/>
      <c r="AC121" s="9"/>
      <c r="AD121" s="9"/>
    </row>
    <row r="122" spans="1:30" ht="17" customHeight="1" x14ac:dyDescent="0.35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7"/>
      <c r="P122" s="8"/>
      <c r="Q122" s="7"/>
      <c r="R122" s="7"/>
      <c r="S122" s="7"/>
      <c r="T122" s="8"/>
      <c r="U122" s="7"/>
      <c r="V122" s="7"/>
      <c r="W122" s="8"/>
      <c r="X122" s="8"/>
      <c r="Y122" s="8"/>
      <c r="Z122" s="8"/>
      <c r="AA122" s="8"/>
      <c r="AB122" s="9"/>
      <c r="AC122" s="9"/>
      <c r="AD122" s="9"/>
    </row>
    <row r="123" spans="1:30" ht="17" customHeight="1" x14ac:dyDescent="0.35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7"/>
      <c r="P123" s="8"/>
      <c r="Q123" s="7"/>
      <c r="R123" s="7"/>
      <c r="S123" s="7"/>
      <c r="T123" s="8"/>
      <c r="U123" s="7"/>
      <c r="V123" s="7"/>
      <c r="W123" s="8"/>
      <c r="X123" s="8"/>
      <c r="Y123" s="8"/>
      <c r="Z123" s="8"/>
      <c r="AA123" s="8"/>
      <c r="AB123" s="9"/>
      <c r="AC123" s="9"/>
      <c r="AD123" s="9"/>
    </row>
    <row r="124" spans="1:30" ht="17" customHeight="1" x14ac:dyDescent="0.35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7"/>
      <c r="P124" s="8"/>
      <c r="Q124" s="7"/>
      <c r="R124" s="7"/>
      <c r="S124" s="7"/>
      <c r="T124" s="8"/>
      <c r="U124" s="7"/>
      <c r="V124" s="7"/>
      <c r="W124" s="8"/>
      <c r="X124" s="8"/>
      <c r="Y124" s="8"/>
      <c r="Z124" s="8"/>
      <c r="AA124" s="8"/>
      <c r="AB124" s="9"/>
      <c r="AC124" s="9"/>
      <c r="AD124" s="9"/>
    </row>
    <row r="125" spans="1:30" ht="17" customHeight="1" x14ac:dyDescent="0.35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7"/>
      <c r="P125" s="8"/>
      <c r="Q125" s="7"/>
      <c r="R125" s="7"/>
      <c r="S125" s="7"/>
      <c r="T125" s="8"/>
      <c r="U125" s="7"/>
      <c r="V125" s="7"/>
      <c r="W125" s="8"/>
      <c r="X125" s="8"/>
      <c r="Y125" s="8"/>
      <c r="Z125" s="8"/>
      <c r="AA125" s="8"/>
      <c r="AB125" s="9"/>
      <c r="AC125" s="9"/>
      <c r="AD125" s="9"/>
    </row>
    <row r="126" spans="1:30" ht="17" customHeight="1" x14ac:dyDescent="0.35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7"/>
      <c r="P126" s="8"/>
      <c r="Q126" s="7"/>
      <c r="R126" s="7"/>
      <c r="S126" s="7"/>
      <c r="T126" s="8"/>
      <c r="U126" s="7"/>
      <c r="V126" s="7"/>
      <c r="W126" s="8"/>
      <c r="X126" s="8"/>
      <c r="Y126" s="8"/>
      <c r="Z126" s="8"/>
      <c r="AA126" s="8"/>
      <c r="AB126" s="9"/>
      <c r="AC126" s="9"/>
      <c r="AD126" s="9"/>
    </row>
    <row r="127" spans="1:30" ht="17" customHeight="1" x14ac:dyDescent="0.35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7"/>
      <c r="P127" s="8"/>
      <c r="Q127" s="7"/>
      <c r="R127" s="7"/>
      <c r="S127" s="7"/>
      <c r="T127" s="8"/>
      <c r="U127" s="7"/>
      <c r="V127" s="7"/>
      <c r="W127" s="8"/>
      <c r="X127" s="8"/>
      <c r="Y127" s="8"/>
      <c r="Z127" s="8"/>
      <c r="AA127" s="8"/>
      <c r="AB127" s="9"/>
      <c r="AC127" s="9"/>
      <c r="AD127" s="9"/>
    </row>
    <row r="128" spans="1:30" ht="17" customHeight="1" x14ac:dyDescent="0.35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7"/>
      <c r="P128" s="8"/>
      <c r="Q128" s="7"/>
      <c r="R128" s="7"/>
      <c r="S128" s="7"/>
      <c r="T128" s="8"/>
      <c r="U128" s="7"/>
      <c r="V128" s="7"/>
      <c r="W128" s="8"/>
      <c r="X128" s="8"/>
      <c r="Y128" s="8"/>
      <c r="Z128" s="8"/>
      <c r="AA128" s="8"/>
      <c r="AB128" s="9"/>
      <c r="AC128" s="9"/>
      <c r="AD128" s="9"/>
    </row>
    <row r="129" spans="1:30" ht="17" customHeight="1" x14ac:dyDescent="0.35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7"/>
      <c r="P129" s="8"/>
      <c r="Q129" s="7"/>
      <c r="R129" s="7"/>
      <c r="S129" s="7"/>
      <c r="T129" s="8"/>
      <c r="U129" s="7"/>
      <c r="V129" s="7"/>
      <c r="W129" s="8"/>
      <c r="X129" s="8"/>
      <c r="Y129" s="8"/>
      <c r="Z129" s="8"/>
      <c r="AA129" s="8"/>
      <c r="AB129" s="9"/>
      <c r="AC129" s="9"/>
      <c r="AD129" s="9"/>
    </row>
    <row r="130" spans="1:30" ht="17" customHeight="1" x14ac:dyDescent="0.35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7"/>
      <c r="P130" s="8"/>
      <c r="Q130" s="7"/>
      <c r="R130" s="7"/>
      <c r="S130" s="7"/>
      <c r="T130" s="8"/>
      <c r="U130" s="7"/>
      <c r="V130" s="7"/>
      <c r="W130" s="8"/>
      <c r="X130" s="8"/>
      <c r="Y130" s="8"/>
      <c r="Z130" s="8"/>
      <c r="AA130" s="8"/>
      <c r="AB130" s="9"/>
      <c r="AC130" s="9"/>
      <c r="AD130" s="9"/>
    </row>
    <row r="131" spans="1:30" ht="17" customHeight="1" x14ac:dyDescent="0.35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7"/>
      <c r="P131" s="8"/>
      <c r="Q131" s="7"/>
      <c r="R131" s="7"/>
      <c r="S131" s="7"/>
      <c r="T131" s="8"/>
      <c r="U131" s="7"/>
      <c r="V131" s="7"/>
      <c r="W131" s="8"/>
      <c r="X131" s="8"/>
      <c r="Y131" s="8"/>
      <c r="Z131" s="8"/>
      <c r="AA131" s="8"/>
      <c r="AB131" s="9"/>
      <c r="AC131" s="9"/>
      <c r="AD131" s="9"/>
    </row>
    <row r="132" spans="1:30" ht="17" customHeight="1" x14ac:dyDescent="0.35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7"/>
      <c r="P132" s="8"/>
      <c r="Q132" s="7"/>
      <c r="R132" s="7"/>
      <c r="S132" s="7"/>
      <c r="T132" s="8"/>
      <c r="U132" s="7"/>
      <c r="V132" s="7"/>
      <c r="W132" s="8"/>
      <c r="X132" s="8"/>
      <c r="Y132" s="8"/>
      <c r="Z132" s="8"/>
      <c r="AA132" s="8"/>
      <c r="AB132" s="9"/>
      <c r="AC132" s="9"/>
      <c r="AD132" s="9"/>
    </row>
    <row r="133" spans="1:30" ht="17" customHeight="1" x14ac:dyDescent="0.35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7"/>
      <c r="P133" s="8"/>
      <c r="Q133" s="7"/>
      <c r="R133" s="7"/>
      <c r="S133" s="7"/>
      <c r="T133" s="8"/>
      <c r="U133" s="7"/>
      <c r="V133" s="7"/>
      <c r="W133" s="8"/>
      <c r="X133" s="8"/>
      <c r="Y133" s="8"/>
      <c r="Z133" s="8"/>
      <c r="AA133" s="8"/>
      <c r="AB133" s="9"/>
      <c r="AC133" s="9"/>
      <c r="AD133" s="9"/>
    </row>
    <row r="134" spans="1:30" ht="17" customHeight="1" x14ac:dyDescent="0.35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7"/>
      <c r="P134" s="8"/>
      <c r="Q134" s="7"/>
      <c r="R134" s="7"/>
      <c r="S134" s="7"/>
      <c r="T134" s="8"/>
      <c r="U134" s="7"/>
      <c r="V134" s="7"/>
      <c r="W134" s="8"/>
      <c r="X134" s="8"/>
      <c r="Y134" s="8"/>
      <c r="Z134" s="8"/>
      <c r="AA134" s="8"/>
      <c r="AB134" s="9"/>
      <c r="AC134" s="9"/>
      <c r="AD134" s="9"/>
    </row>
    <row r="135" spans="1:30" ht="17" customHeight="1" x14ac:dyDescent="0.35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7"/>
      <c r="P135" s="8"/>
      <c r="Q135" s="7"/>
      <c r="R135" s="7"/>
      <c r="S135" s="7"/>
      <c r="T135" s="8"/>
      <c r="U135" s="7"/>
      <c r="V135" s="7"/>
      <c r="W135" s="8"/>
      <c r="X135" s="8"/>
      <c r="Y135" s="8"/>
      <c r="Z135" s="8"/>
      <c r="AA135" s="8"/>
      <c r="AB135" s="9"/>
      <c r="AC135" s="9"/>
      <c r="AD135" s="9"/>
    </row>
    <row r="136" spans="1:30" ht="17" customHeight="1" x14ac:dyDescent="0.35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7"/>
      <c r="P136" s="8"/>
      <c r="Q136" s="7"/>
      <c r="R136" s="7"/>
      <c r="S136" s="7"/>
      <c r="T136" s="8"/>
      <c r="U136" s="7"/>
      <c r="V136" s="7"/>
      <c r="W136" s="8"/>
      <c r="X136" s="8"/>
      <c r="Y136" s="8"/>
      <c r="Z136" s="8"/>
      <c r="AA136" s="8"/>
      <c r="AB136" s="9"/>
      <c r="AC136" s="9"/>
      <c r="AD136" s="9"/>
    </row>
    <row r="137" spans="1:30" ht="17" customHeight="1" x14ac:dyDescent="0.35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7"/>
      <c r="P137" s="8"/>
      <c r="Q137" s="7"/>
      <c r="R137" s="7"/>
      <c r="S137" s="7"/>
      <c r="T137" s="8"/>
      <c r="U137" s="7"/>
      <c r="V137" s="7"/>
      <c r="W137" s="8"/>
      <c r="X137" s="8"/>
      <c r="Y137" s="8"/>
      <c r="Z137" s="8"/>
      <c r="AA137" s="8"/>
      <c r="AB137" s="9"/>
      <c r="AC137" s="9"/>
      <c r="AD137" s="9"/>
    </row>
    <row r="138" spans="1:30" ht="17" customHeight="1" x14ac:dyDescent="0.35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7"/>
      <c r="P138" s="8"/>
      <c r="Q138" s="7"/>
      <c r="R138" s="7"/>
      <c r="S138" s="7"/>
      <c r="T138" s="8"/>
      <c r="U138" s="7"/>
      <c r="V138" s="7"/>
      <c r="W138" s="8"/>
      <c r="X138" s="8"/>
      <c r="Y138" s="8"/>
      <c r="Z138" s="8"/>
      <c r="AA138" s="8"/>
      <c r="AB138" s="9"/>
      <c r="AC138" s="9"/>
      <c r="AD138" s="9"/>
    </row>
    <row r="139" spans="1:30" ht="17" customHeight="1" x14ac:dyDescent="0.35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7"/>
      <c r="P139" s="8"/>
      <c r="Q139" s="7"/>
      <c r="R139" s="7"/>
      <c r="S139" s="7"/>
      <c r="T139" s="8"/>
      <c r="U139" s="7"/>
      <c r="V139" s="7"/>
      <c r="W139" s="8"/>
      <c r="X139" s="8"/>
      <c r="Y139" s="8"/>
      <c r="Z139" s="8"/>
      <c r="AA139" s="8"/>
      <c r="AB139" s="9"/>
      <c r="AC139" s="9"/>
      <c r="AD139" s="9"/>
    </row>
    <row r="140" spans="1:30" ht="17" customHeight="1" x14ac:dyDescent="0.35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7"/>
      <c r="P140" s="8"/>
      <c r="Q140" s="7"/>
      <c r="R140" s="7"/>
      <c r="S140" s="7"/>
      <c r="T140" s="8"/>
      <c r="U140" s="7"/>
      <c r="V140" s="7"/>
      <c r="W140" s="8"/>
      <c r="X140" s="8"/>
      <c r="Y140" s="8"/>
      <c r="Z140" s="8"/>
      <c r="AA140" s="8"/>
      <c r="AB140" s="9"/>
      <c r="AC140" s="9"/>
      <c r="AD140" s="9"/>
    </row>
    <row r="141" spans="1:30" ht="17" customHeight="1" x14ac:dyDescent="0.35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7"/>
      <c r="P141" s="8"/>
      <c r="Q141" s="7"/>
      <c r="R141" s="7"/>
      <c r="S141" s="7"/>
      <c r="T141" s="8"/>
      <c r="U141" s="7"/>
      <c r="V141" s="7"/>
      <c r="W141" s="8"/>
      <c r="X141" s="8"/>
      <c r="Y141" s="8"/>
      <c r="Z141" s="8"/>
      <c r="AA141" s="8"/>
      <c r="AB141" s="9"/>
      <c r="AC141" s="9"/>
      <c r="AD141" s="9"/>
    </row>
    <row r="142" spans="1:30" ht="17" customHeight="1" x14ac:dyDescent="0.35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7"/>
      <c r="P142" s="8"/>
      <c r="Q142" s="7"/>
      <c r="R142" s="7"/>
      <c r="S142" s="7"/>
      <c r="T142" s="8"/>
      <c r="U142" s="7"/>
      <c r="V142" s="7"/>
      <c r="W142" s="8"/>
      <c r="X142" s="8"/>
      <c r="Y142" s="8"/>
      <c r="Z142" s="8"/>
      <c r="AA142" s="8"/>
      <c r="AB142" s="9"/>
      <c r="AC142" s="9"/>
      <c r="AD142" s="9"/>
    </row>
    <row r="143" spans="1:30" ht="17" customHeight="1" x14ac:dyDescent="0.35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7"/>
      <c r="P143" s="8"/>
      <c r="Q143" s="7"/>
      <c r="R143" s="7"/>
      <c r="S143" s="7"/>
      <c r="T143" s="8"/>
      <c r="U143" s="7"/>
      <c r="V143" s="7"/>
      <c r="W143" s="8"/>
      <c r="X143" s="8"/>
      <c r="Y143" s="8"/>
      <c r="Z143" s="8"/>
      <c r="AA143" s="8"/>
      <c r="AB143" s="9"/>
      <c r="AC143" s="9"/>
      <c r="AD143" s="9"/>
    </row>
    <row r="144" spans="1:30" ht="17" customHeight="1" x14ac:dyDescent="0.35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7"/>
      <c r="P144" s="8"/>
      <c r="Q144" s="7"/>
      <c r="R144" s="7"/>
      <c r="S144" s="7"/>
      <c r="T144" s="8"/>
      <c r="U144" s="7"/>
      <c r="V144" s="7"/>
      <c r="W144" s="8"/>
      <c r="X144" s="8"/>
      <c r="Y144" s="8"/>
      <c r="Z144" s="8"/>
      <c r="AA144" s="8"/>
      <c r="AB144" s="9"/>
      <c r="AC144" s="9"/>
      <c r="AD144" s="9"/>
    </row>
    <row r="145" spans="1:30" ht="17" customHeight="1" x14ac:dyDescent="0.35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7"/>
      <c r="P145" s="8"/>
      <c r="Q145" s="7"/>
      <c r="R145" s="7"/>
      <c r="S145" s="7"/>
      <c r="T145" s="8"/>
      <c r="U145" s="7"/>
      <c r="V145" s="7"/>
      <c r="W145" s="8"/>
      <c r="X145" s="8"/>
      <c r="Y145" s="8"/>
      <c r="Z145" s="8"/>
      <c r="AA145" s="8"/>
      <c r="AB145" s="9"/>
      <c r="AC145" s="9"/>
      <c r="AD145" s="9"/>
    </row>
    <row r="146" spans="1:30" ht="17" customHeight="1" x14ac:dyDescent="0.35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7"/>
      <c r="P146" s="8"/>
      <c r="Q146" s="7"/>
      <c r="R146" s="7"/>
      <c r="S146" s="7"/>
      <c r="T146" s="8"/>
      <c r="U146" s="7"/>
      <c r="V146" s="7"/>
      <c r="W146" s="8"/>
      <c r="X146" s="8"/>
      <c r="Y146" s="8"/>
      <c r="Z146" s="8"/>
      <c r="AA146" s="8"/>
      <c r="AB146" s="9"/>
      <c r="AC146" s="9"/>
      <c r="AD146" s="9"/>
    </row>
    <row r="147" spans="1:30" ht="17" customHeight="1" x14ac:dyDescent="0.35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7"/>
      <c r="P147" s="8"/>
      <c r="Q147" s="7"/>
      <c r="R147" s="7"/>
      <c r="S147" s="7"/>
      <c r="T147" s="8"/>
      <c r="U147" s="7"/>
      <c r="V147" s="7"/>
      <c r="W147" s="8"/>
      <c r="X147" s="8"/>
      <c r="Y147" s="8"/>
      <c r="Z147" s="8"/>
      <c r="AA147" s="8"/>
      <c r="AB147" s="9"/>
      <c r="AC147" s="9"/>
      <c r="AD147" s="9"/>
    </row>
    <row r="148" spans="1:30" ht="17" customHeight="1" x14ac:dyDescent="0.35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7"/>
      <c r="P148" s="8"/>
      <c r="Q148" s="7"/>
      <c r="R148" s="7"/>
      <c r="S148" s="7"/>
      <c r="T148" s="8"/>
      <c r="U148" s="7"/>
      <c r="V148" s="7"/>
      <c r="W148" s="8"/>
      <c r="X148" s="8"/>
      <c r="Y148" s="8"/>
      <c r="Z148" s="8"/>
      <c r="AA148" s="8"/>
      <c r="AB148" s="9"/>
      <c r="AC148" s="9"/>
      <c r="AD148" s="9"/>
    </row>
    <row r="149" spans="1:30" ht="17" customHeight="1" x14ac:dyDescent="0.35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7"/>
      <c r="P149" s="8"/>
      <c r="Q149" s="7"/>
      <c r="R149" s="7"/>
      <c r="S149" s="7"/>
      <c r="T149" s="8"/>
      <c r="U149" s="7"/>
      <c r="V149" s="7"/>
      <c r="W149" s="8"/>
      <c r="X149" s="8"/>
      <c r="Y149" s="8"/>
      <c r="Z149" s="8"/>
      <c r="AA149" s="8"/>
      <c r="AB149" s="9"/>
      <c r="AC149" s="9"/>
      <c r="AD149" s="9"/>
    </row>
    <row r="150" spans="1:30" ht="17" customHeight="1" x14ac:dyDescent="0.35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7"/>
      <c r="P150" s="8"/>
      <c r="Q150" s="7"/>
      <c r="R150" s="7"/>
      <c r="S150" s="7"/>
      <c r="T150" s="8"/>
      <c r="U150" s="7"/>
      <c r="V150" s="7"/>
      <c r="W150" s="8"/>
      <c r="X150" s="8"/>
      <c r="Y150" s="8"/>
      <c r="Z150" s="8"/>
      <c r="AA150" s="8"/>
      <c r="AB150" s="9"/>
      <c r="AC150" s="9"/>
      <c r="AD150" s="9"/>
    </row>
    <row r="151" spans="1:30" ht="17" customHeight="1" x14ac:dyDescent="0.35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7"/>
      <c r="P151" s="8"/>
      <c r="Q151" s="7"/>
      <c r="R151" s="7"/>
      <c r="S151" s="7"/>
      <c r="T151" s="8"/>
      <c r="U151" s="7"/>
      <c r="V151" s="7"/>
      <c r="W151" s="8"/>
      <c r="X151" s="8"/>
      <c r="Y151" s="8"/>
      <c r="Z151" s="8"/>
      <c r="AA151" s="8"/>
      <c r="AB151" s="9"/>
      <c r="AC151" s="9"/>
      <c r="AD151" s="9"/>
    </row>
    <row r="152" spans="1:30" ht="17" customHeight="1" x14ac:dyDescent="0.35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7"/>
      <c r="P152" s="8"/>
      <c r="Q152" s="7"/>
      <c r="R152" s="7"/>
      <c r="S152" s="7"/>
      <c r="T152" s="8"/>
      <c r="U152" s="7"/>
      <c r="V152" s="7"/>
      <c r="W152" s="8"/>
      <c r="X152" s="8"/>
      <c r="Y152" s="8"/>
      <c r="Z152" s="8"/>
      <c r="AA152" s="8"/>
      <c r="AB152" s="9"/>
      <c r="AC152" s="9"/>
      <c r="AD152" s="9"/>
    </row>
    <row r="153" spans="1:30" ht="17" customHeight="1" x14ac:dyDescent="0.35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7"/>
      <c r="P153" s="8"/>
      <c r="Q153" s="7"/>
      <c r="R153" s="7"/>
      <c r="S153" s="7"/>
      <c r="T153" s="8"/>
      <c r="U153" s="7"/>
      <c r="V153" s="7"/>
      <c r="W153" s="8"/>
      <c r="X153" s="8"/>
      <c r="Y153" s="8"/>
      <c r="Z153" s="8"/>
      <c r="AA153" s="8"/>
      <c r="AB153" s="9"/>
      <c r="AC153" s="9"/>
      <c r="AD153" s="9"/>
    </row>
    <row r="154" spans="1:30" ht="17" customHeight="1" x14ac:dyDescent="0.35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7"/>
      <c r="P154" s="8"/>
      <c r="Q154" s="7"/>
      <c r="R154" s="7"/>
      <c r="S154" s="7"/>
      <c r="T154" s="8"/>
      <c r="U154" s="7"/>
      <c r="V154" s="7"/>
      <c r="W154" s="8"/>
      <c r="X154" s="8"/>
      <c r="Y154" s="8"/>
      <c r="Z154" s="8"/>
      <c r="AA154" s="8"/>
      <c r="AB154" s="9"/>
      <c r="AC154" s="9"/>
      <c r="AD154" s="9"/>
    </row>
    <row r="155" spans="1:30" ht="17" customHeight="1" x14ac:dyDescent="0.35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7"/>
      <c r="P155" s="8"/>
      <c r="Q155" s="7"/>
      <c r="R155" s="7"/>
      <c r="S155" s="7"/>
      <c r="T155" s="8"/>
      <c r="U155" s="7"/>
      <c r="V155" s="7"/>
      <c r="W155" s="8"/>
      <c r="X155" s="8"/>
      <c r="Y155" s="8"/>
      <c r="Z155" s="8"/>
      <c r="AA155" s="8"/>
      <c r="AB155" s="9"/>
      <c r="AC155" s="9"/>
      <c r="AD155" s="9"/>
    </row>
    <row r="156" spans="1:30" ht="17" customHeight="1" x14ac:dyDescent="0.35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7"/>
      <c r="P156" s="8"/>
      <c r="Q156" s="7"/>
      <c r="R156" s="7"/>
      <c r="S156" s="7"/>
      <c r="T156" s="8"/>
      <c r="U156" s="7"/>
      <c r="V156" s="7"/>
      <c r="W156" s="8"/>
      <c r="X156" s="8"/>
      <c r="Y156" s="8"/>
      <c r="Z156" s="8"/>
      <c r="AA156" s="8"/>
      <c r="AB156" s="9"/>
      <c r="AC156" s="9"/>
      <c r="AD156" s="9"/>
    </row>
    <row r="157" spans="1:30" ht="17" customHeight="1" x14ac:dyDescent="0.35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7"/>
      <c r="P157" s="8"/>
      <c r="Q157" s="7"/>
      <c r="R157" s="7"/>
      <c r="S157" s="7"/>
      <c r="T157" s="8"/>
      <c r="U157" s="7"/>
      <c r="V157" s="7"/>
      <c r="W157" s="8"/>
      <c r="X157" s="8"/>
      <c r="Y157" s="8"/>
      <c r="Z157" s="8"/>
      <c r="AA157" s="8"/>
      <c r="AB157" s="9"/>
      <c r="AC157" s="9"/>
      <c r="AD157" s="9"/>
    </row>
    <row r="158" spans="1:30" ht="17" customHeight="1" x14ac:dyDescent="0.35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7"/>
      <c r="P158" s="8"/>
      <c r="Q158" s="7"/>
      <c r="R158" s="7"/>
      <c r="S158" s="7"/>
      <c r="T158" s="8"/>
      <c r="U158" s="7"/>
      <c r="V158" s="7"/>
      <c r="W158" s="8"/>
      <c r="X158" s="8"/>
      <c r="Y158" s="8"/>
      <c r="Z158" s="8"/>
      <c r="AA158" s="8"/>
      <c r="AB158" s="9"/>
      <c r="AC158" s="9"/>
      <c r="AD158" s="9"/>
    </row>
    <row r="159" spans="1:30" ht="17" customHeight="1" x14ac:dyDescent="0.35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7"/>
      <c r="P159" s="8"/>
      <c r="Q159" s="7"/>
      <c r="R159" s="7"/>
      <c r="S159" s="7"/>
      <c r="T159" s="8"/>
      <c r="U159" s="7"/>
      <c r="V159" s="7"/>
      <c r="W159" s="8"/>
      <c r="X159" s="8"/>
      <c r="Y159" s="8"/>
      <c r="Z159" s="8"/>
      <c r="AA159" s="8"/>
      <c r="AB159" s="9"/>
      <c r="AC159" s="9"/>
      <c r="AD159" s="9"/>
    </row>
    <row r="160" spans="1:30" ht="17" customHeight="1" x14ac:dyDescent="0.35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7"/>
      <c r="P160" s="8"/>
      <c r="Q160" s="7"/>
      <c r="R160" s="7"/>
      <c r="S160" s="7"/>
      <c r="T160" s="8"/>
      <c r="U160" s="7"/>
      <c r="V160" s="7"/>
      <c r="W160" s="8"/>
      <c r="X160" s="8"/>
      <c r="Y160" s="8"/>
      <c r="Z160" s="8"/>
      <c r="AA160" s="8"/>
      <c r="AB160" s="9"/>
      <c r="AC160" s="9"/>
      <c r="AD160" s="9"/>
    </row>
    <row r="161" spans="1:30" ht="17" customHeight="1" x14ac:dyDescent="0.35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7"/>
      <c r="P161" s="8"/>
      <c r="Q161" s="7"/>
      <c r="R161" s="7"/>
      <c r="S161" s="7"/>
      <c r="T161" s="8"/>
      <c r="U161" s="7"/>
      <c r="V161" s="7"/>
      <c r="W161" s="8"/>
      <c r="X161" s="8"/>
      <c r="Y161" s="8"/>
      <c r="Z161" s="8"/>
      <c r="AA161" s="8"/>
      <c r="AB161" s="9"/>
      <c r="AC161" s="9"/>
      <c r="AD161" s="9"/>
    </row>
    <row r="162" spans="1:30" ht="17" customHeight="1" x14ac:dyDescent="0.35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7"/>
      <c r="P162" s="8"/>
      <c r="Q162" s="7"/>
      <c r="R162" s="7"/>
      <c r="S162" s="7"/>
      <c r="T162" s="8"/>
      <c r="U162" s="7"/>
      <c r="V162" s="7"/>
      <c r="W162" s="8"/>
      <c r="X162" s="8"/>
      <c r="Y162" s="8"/>
      <c r="Z162" s="8"/>
      <c r="AA162" s="8"/>
      <c r="AB162" s="9"/>
      <c r="AC162" s="9"/>
      <c r="AD162" s="9"/>
    </row>
    <row r="163" spans="1:30" ht="17" customHeight="1" x14ac:dyDescent="0.35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7"/>
      <c r="P163" s="8"/>
      <c r="Q163" s="7"/>
      <c r="R163" s="7"/>
      <c r="S163" s="7"/>
      <c r="T163" s="8"/>
      <c r="U163" s="7"/>
      <c r="V163" s="7"/>
      <c r="W163" s="8"/>
      <c r="X163" s="8"/>
      <c r="Y163" s="8"/>
      <c r="Z163" s="8"/>
      <c r="AA163" s="8"/>
      <c r="AB163" s="9"/>
      <c r="AC163" s="9"/>
      <c r="AD163" s="9"/>
    </row>
    <row r="164" spans="1:30" ht="17" customHeight="1" x14ac:dyDescent="0.35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7"/>
      <c r="P164" s="8"/>
      <c r="Q164" s="7"/>
      <c r="R164" s="7"/>
      <c r="S164" s="7"/>
      <c r="T164" s="8"/>
      <c r="U164" s="7"/>
      <c r="V164" s="7"/>
      <c r="W164" s="8"/>
      <c r="X164" s="8"/>
      <c r="Y164" s="8"/>
      <c r="Z164" s="8"/>
      <c r="AA164" s="8"/>
      <c r="AB164" s="9"/>
      <c r="AC164" s="9"/>
      <c r="AD164" s="9"/>
    </row>
    <row r="165" spans="1:30" ht="17" customHeight="1" x14ac:dyDescent="0.35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7"/>
      <c r="P165" s="8"/>
      <c r="Q165" s="7"/>
      <c r="R165" s="7"/>
      <c r="S165" s="7"/>
      <c r="T165" s="8"/>
      <c r="U165" s="7"/>
      <c r="V165" s="7"/>
      <c r="W165" s="8"/>
      <c r="X165" s="8"/>
      <c r="Y165" s="8"/>
      <c r="Z165" s="8"/>
      <c r="AA165" s="8"/>
      <c r="AB165" s="9"/>
      <c r="AC165" s="9"/>
      <c r="AD165" s="9"/>
    </row>
    <row r="166" spans="1:30" ht="17" customHeight="1" x14ac:dyDescent="0.35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7"/>
      <c r="P166" s="8"/>
      <c r="Q166" s="7"/>
      <c r="R166" s="7"/>
      <c r="S166" s="7"/>
      <c r="T166" s="8"/>
      <c r="U166" s="7"/>
      <c r="V166" s="7"/>
      <c r="W166" s="8"/>
      <c r="X166" s="8"/>
      <c r="Y166" s="8"/>
      <c r="Z166" s="8"/>
      <c r="AA166" s="8"/>
      <c r="AB166" s="9"/>
      <c r="AC166" s="9"/>
      <c r="AD166" s="9"/>
    </row>
    <row r="167" spans="1:30" ht="17" customHeight="1" x14ac:dyDescent="0.35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7"/>
      <c r="P167" s="8"/>
      <c r="Q167" s="7"/>
      <c r="R167" s="7"/>
      <c r="S167" s="7"/>
      <c r="T167" s="8"/>
      <c r="U167" s="7"/>
      <c r="V167" s="7"/>
      <c r="W167" s="8"/>
      <c r="X167" s="8"/>
      <c r="Y167" s="8"/>
      <c r="Z167" s="8"/>
      <c r="AA167" s="8"/>
      <c r="AB167" s="9"/>
      <c r="AC167" s="9"/>
      <c r="AD167" s="9"/>
    </row>
    <row r="168" spans="1:30" ht="17" customHeight="1" x14ac:dyDescent="0.35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7"/>
      <c r="P168" s="8"/>
      <c r="Q168" s="7"/>
      <c r="R168" s="7"/>
      <c r="S168" s="7"/>
      <c r="T168" s="8"/>
      <c r="U168" s="7"/>
      <c r="V168" s="7"/>
      <c r="W168" s="8"/>
      <c r="X168" s="8"/>
      <c r="Y168" s="8"/>
      <c r="Z168" s="8"/>
      <c r="AA168" s="8"/>
      <c r="AB168" s="9"/>
      <c r="AC168" s="9"/>
      <c r="AD168" s="9"/>
    </row>
    <row r="169" spans="1:30" ht="17" customHeight="1" x14ac:dyDescent="0.35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7"/>
      <c r="P169" s="8"/>
      <c r="Q169" s="7"/>
      <c r="R169" s="7"/>
      <c r="S169" s="7"/>
      <c r="T169" s="8"/>
      <c r="U169" s="7"/>
      <c r="V169" s="7"/>
      <c r="W169" s="8"/>
      <c r="X169" s="8"/>
      <c r="Y169" s="8"/>
      <c r="Z169" s="8"/>
      <c r="AA169" s="8"/>
      <c r="AB169" s="9"/>
      <c r="AC169" s="9"/>
      <c r="AD169" s="9"/>
    </row>
    <row r="170" spans="1:30" ht="17" customHeight="1" x14ac:dyDescent="0.35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7"/>
      <c r="P170" s="8"/>
      <c r="Q170" s="7"/>
      <c r="R170" s="7"/>
      <c r="S170" s="7"/>
      <c r="T170" s="8"/>
      <c r="U170" s="7"/>
      <c r="V170" s="7"/>
      <c r="W170" s="8"/>
      <c r="X170" s="8"/>
      <c r="Y170" s="8"/>
      <c r="Z170" s="8"/>
      <c r="AA170" s="8"/>
      <c r="AB170" s="9"/>
      <c r="AC170" s="9"/>
      <c r="AD170" s="9"/>
    </row>
    <row r="171" spans="1:30" ht="17" customHeight="1" x14ac:dyDescent="0.35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7"/>
      <c r="P171" s="8"/>
      <c r="Q171" s="7"/>
      <c r="R171" s="7"/>
      <c r="S171" s="7"/>
      <c r="T171" s="8"/>
      <c r="U171" s="7"/>
      <c r="V171" s="7"/>
      <c r="W171" s="8"/>
      <c r="X171" s="8"/>
      <c r="Y171" s="8"/>
      <c r="Z171" s="8"/>
      <c r="AA171" s="8"/>
      <c r="AB171" s="9"/>
      <c r="AC171" s="9"/>
      <c r="AD171" s="9"/>
    </row>
    <row r="172" spans="1:30" ht="17" customHeight="1" x14ac:dyDescent="0.35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7"/>
      <c r="P172" s="8"/>
      <c r="Q172" s="7"/>
      <c r="R172" s="7"/>
      <c r="S172" s="7"/>
      <c r="T172" s="8"/>
      <c r="U172" s="7"/>
      <c r="V172" s="7"/>
      <c r="W172" s="8"/>
      <c r="X172" s="8"/>
      <c r="Y172" s="8"/>
      <c r="Z172" s="8"/>
      <c r="AA172" s="8"/>
      <c r="AB172" s="9"/>
      <c r="AC172" s="9"/>
      <c r="AD172" s="9"/>
    </row>
    <row r="173" spans="1:30" ht="17" customHeight="1" x14ac:dyDescent="0.35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7"/>
      <c r="P173" s="8"/>
      <c r="Q173" s="7"/>
      <c r="R173" s="7"/>
      <c r="S173" s="7"/>
      <c r="T173" s="8"/>
      <c r="U173" s="7"/>
      <c r="V173" s="7"/>
      <c r="W173" s="8"/>
      <c r="X173" s="8"/>
      <c r="Y173" s="8"/>
      <c r="Z173" s="8"/>
      <c r="AA173" s="8"/>
      <c r="AB173" s="9"/>
      <c r="AC173" s="9"/>
      <c r="AD173" s="9"/>
    </row>
    <row r="174" spans="1:30" ht="17" customHeight="1" x14ac:dyDescent="0.35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7"/>
      <c r="P174" s="8"/>
      <c r="Q174" s="7"/>
      <c r="R174" s="7"/>
      <c r="S174" s="7"/>
      <c r="T174" s="8"/>
      <c r="U174" s="7"/>
      <c r="V174" s="7"/>
      <c r="W174" s="8"/>
      <c r="X174" s="8"/>
      <c r="Y174" s="8"/>
      <c r="Z174" s="8"/>
      <c r="AA174" s="8"/>
      <c r="AB174" s="9"/>
      <c r="AC174" s="9"/>
      <c r="AD174" s="9"/>
    </row>
    <row r="175" spans="1:30" ht="17" customHeight="1" x14ac:dyDescent="0.35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7"/>
      <c r="P175" s="8"/>
      <c r="Q175" s="7"/>
      <c r="R175" s="7"/>
      <c r="S175" s="7"/>
      <c r="T175" s="8"/>
      <c r="U175" s="7"/>
      <c r="V175" s="7"/>
      <c r="W175" s="8"/>
      <c r="X175" s="8"/>
      <c r="Y175" s="8"/>
      <c r="Z175" s="8"/>
      <c r="AA175" s="8"/>
      <c r="AB175" s="9"/>
      <c r="AC175" s="9"/>
      <c r="AD175" s="9"/>
    </row>
    <row r="176" spans="1:30" ht="17" customHeight="1" x14ac:dyDescent="0.35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7"/>
      <c r="P176" s="8"/>
      <c r="Q176" s="7"/>
      <c r="R176" s="7"/>
      <c r="S176" s="7"/>
      <c r="T176" s="8"/>
      <c r="U176" s="7"/>
      <c r="V176" s="7"/>
      <c r="W176" s="8"/>
      <c r="X176" s="8"/>
      <c r="Y176" s="8"/>
      <c r="Z176" s="8"/>
      <c r="AA176" s="8"/>
      <c r="AB176" s="9"/>
      <c r="AC176" s="9"/>
      <c r="AD176" s="9"/>
    </row>
    <row r="177" spans="1:30" ht="17" customHeight="1" x14ac:dyDescent="0.35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7"/>
      <c r="P177" s="8"/>
      <c r="Q177" s="7"/>
      <c r="R177" s="7"/>
      <c r="S177" s="7"/>
      <c r="T177" s="8"/>
      <c r="U177" s="7"/>
      <c r="V177" s="7"/>
      <c r="W177" s="8"/>
      <c r="X177" s="8"/>
      <c r="Y177" s="8"/>
      <c r="Z177" s="8"/>
      <c r="AA177" s="8"/>
      <c r="AB177" s="9"/>
      <c r="AC177" s="9"/>
      <c r="AD177" s="9"/>
    </row>
    <row r="178" spans="1:30" ht="17" customHeight="1" x14ac:dyDescent="0.35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7"/>
      <c r="P178" s="8"/>
      <c r="Q178" s="7"/>
      <c r="R178" s="7"/>
      <c r="S178" s="7"/>
      <c r="T178" s="8"/>
      <c r="U178" s="7"/>
      <c r="V178" s="7"/>
      <c r="W178" s="8"/>
      <c r="X178" s="8"/>
      <c r="Y178" s="8"/>
      <c r="Z178" s="8"/>
      <c r="AA178" s="8"/>
      <c r="AB178" s="9"/>
      <c r="AC178" s="9"/>
      <c r="AD178" s="9"/>
    </row>
    <row r="179" spans="1:30" ht="17" customHeight="1" x14ac:dyDescent="0.35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7"/>
      <c r="P179" s="8"/>
      <c r="Q179" s="7"/>
      <c r="R179" s="7"/>
      <c r="S179" s="7"/>
      <c r="T179" s="8"/>
      <c r="U179" s="7"/>
      <c r="V179" s="7"/>
      <c r="W179" s="8"/>
      <c r="X179" s="8"/>
      <c r="Y179" s="8"/>
      <c r="Z179" s="8"/>
      <c r="AA179" s="8"/>
      <c r="AB179" s="9"/>
      <c r="AC179" s="9"/>
      <c r="AD179" s="9"/>
    </row>
    <row r="180" spans="1:30" ht="17" customHeight="1" x14ac:dyDescent="0.35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7"/>
      <c r="P180" s="8"/>
      <c r="Q180" s="7"/>
      <c r="R180" s="7"/>
      <c r="S180" s="7"/>
      <c r="T180" s="8"/>
      <c r="U180" s="7"/>
      <c r="V180" s="7"/>
      <c r="W180" s="8"/>
      <c r="X180" s="8"/>
      <c r="Y180" s="8"/>
      <c r="Z180" s="8"/>
      <c r="AA180" s="8"/>
      <c r="AB180" s="9"/>
      <c r="AC180" s="9"/>
      <c r="AD180" s="9"/>
    </row>
    <row r="181" spans="1:30" ht="17" customHeight="1" x14ac:dyDescent="0.35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7"/>
      <c r="P181" s="8"/>
      <c r="Q181" s="7"/>
      <c r="R181" s="7"/>
      <c r="S181" s="7"/>
      <c r="T181" s="8"/>
      <c r="U181" s="7"/>
      <c r="V181" s="7"/>
      <c r="W181" s="8"/>
      <c r="X181" s="8"/>
      <c r="Y181" s="8"/>
      <c r="Z181" s="8"/>
      <c r="AA181" s="8"/>
      <c r="AB181" s="9"/>
      <c r="AC181" s="9"/>
      <c r="AD181" s="9"/>
    </row>
    <row r="182" spans="1:30" ht="17" customHeight="1" x14ac:dyDescent="0.35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7"/>
      <c r="P182" s="8"/>
      <c r="Q182" s="7"/>
      <c r="R182" s="7"/>
      <c r="S182" s="7"/>
      <c r="T182" s="8"/>
      <c r="U182" s="7"/>
      <c r="V182" s="7"/>
      <c r="W182" s="8"/>
      <c r="X182" s="8"/>
      <c r="Y182" s="8"/>
      <c r="Z182" s="8"/>
      <c r="AA182" s="8"/>
      <c r="AB182" s="9"/>
      <c r="AC182" s="9"/>
      <c r="AD182" s="9"/>
    </row>
    <row r="183" spans="1:30" ht="17" customHeight="1" x14ac:dyDescent="0.35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7"/>
      <c r="P183" s="8"/>
      <c r="Q183" s="7"/>
      <c r="R183" s="7"/>
      <c r="S183" s="7"/>
      <c r="T183" s="8"/>
      <c r="U183" s="7"/>
      <c r="V183" s="7"/>
      <c r="W183" s="8"/>
      <c r="X183" s="8"/>
      <c r="Y183" s="8"/>
      <c r="Z183" s="8"/>
      <c r="AA183" s="8"/>
      <c r="AB183" s="9"/>
      <c r="AC183" s="9"/>
      <c r="AD183" s="9"/>
    </row>
    <row r="184" spans="1:30" ht="17" customHeight="1" x14ac:dyDescent="0.35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7"/>
      <c r="P184" s="8"/>
      <c r="Q184" s="7"/>
      <c r="R184" s="7"/>
      <c r="S184" s="7"/>
      <c r="T184" s="8"/>
      <c r="U184" s="7"/>
      <c r="V184" s="7"/>
      <c r="W184" s="8"/>
      <c r="X184" s="8"/>
      <c r="Y184" s="8"/>
      <c r="Z184" s="8"/>
      <c r="AA184" s="8"/>
      <c r="AB184" s="9"/>
      <c r="AC184" s="9"/>
      <c r="AD184" s="9"/>
    </row>
    <row r="185" spans="1:30" ht="17" customHeight="1" x14ac:dyDescent="0.35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7"/>
      <c r="P185" s="8"/>
      <c r="Q185" s="7"/>
      <c r="R185" s="7"/>
      <c r="S185" s="7"/>
      <c r="T185" s="8"/>
      <c r="U185" s="7"/>
      <c r="V185" s="7"/>
      <c r="W185" s="8"/>
      <c r="X185" s="8"/>
      <c r="Y185" s="8"/>
      <c r="Z185" s="8"/>
      <c r="AA185" s="8"/>
      <c r="AB185" s="9"/>
      <c r="AC185" s="9"/>
      <c r="AD185" s="9"/>
    </row>
    <row r="186" spans="1:30" ht="17" customHeight="1" x14ac:dyDescent="0.35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7"/>
      <c r="P186" s="8"/>
      <c r="Q186" s="7"/>
      <c r="R186" s="7"/>
      <c r="S186" s="7"/>
      <c r="T186" s="8"/>
      <c r="U186" s="7"/>
      <c r="V186" s="7"/>
      <c r="W186" s="8"/>
      <c r="X186" s="8"/>
      <c r="Y186" s="8"/>
      <c r="Z186" s="8"/>
      <c r="AA186" s="8"/>
      <c r="AB186" s="9"/>
      <c r="AC186" s="9"/>
      <c r="AD186" s="9"/>
    </row>
    <row r="187" spans="1:30" ht="17" customHeight="1" x14ac:dyDescent="0.35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7"/>
      <c r="P187" s="8"/>
      <c r="Q187" s="7"/>
      <c r="R187" s="7"/>
      <c r="S187" s="7"/>
      <c r="T187" s="8"/>
      <c r="U187" s="7"/>
      <c r="V187" s="7"/>
      <c r="W187" s="8"/>
      <c r="X187" s="8"/>
      <c r="Y187" s="8"/>
      <c r="Z187" s="8"/>
      <c r="AA187" s="8"/>
      <c r="AB187" s="9"/>
      <c r="AC187" s="9"/>
      <c r="AD187" s="9"/>
    </row>
    <row r="188" spans="1:30" ht="17" customHeight="1" x14ac:dyDescent="0.35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7"/>
      <c r="P188" s="8"/>
      <c r="Q188" s="7"/>
      <c r="R188" s="7"/>
      <c r="S188" s="7"/>
      <c r="T188" s="8"/>
      <c r="U188" s="7"/>
      <c r="V188" s="7"/>
      <c r="W188" s="8"/>
      <c r="X188" s="8"/>
      <c r="Y188" s="8"/>
      <c r="Z188" s="8"/>
      <c r="AA188" s="8"/>
      <c r="AB188" s="9"/>
      <c r="AC188" s="9"/>
      <c r="AD188" s="9"/>
    </row>
    <row r="189" spans="1:30" ht="17" customHeight="1" x14ac:dyDescent="0.35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7"/>
      <c r="P189" s="8"/>
      <c r="Q189" s="7"/>
      <c r="R189" s="7"/>
      <c r="S189" s="7"/>
      <c r="T189" s="8"/>
      <c r="U189" s="7"/>
      <c r="V189" s="7"/>
      <c r="W189" s="8"/>
      <c r="X189" s="8"/>
      <c r="Y189" s="8"/>
      <c r="Z189" s="8"/>
      <c r="AA189" s="8"/>
      <c r="AB189" s="9"/>
      <c r="AC189" s="9"/>
      <c r="AD189" s="9"/>
    </row>
    <row r="190" spans="1:30" ht="17" customHeight="1" x14ac:dyDescent="0.35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7"/>
      <c r="P190" s="8"/>
      <c r="Q190" s="7"/>
      <c r="R190" s="7"/>
      <c r="S190" s="7"/>
      <c r="T190" s="8"/>
      <c r="U190" s="7"/>
      <c r="V190" s="7"/>
      <c r="W190" s="8"/>
      <c r="X190" s="8"/>
      <c r="Y190" s="8"/>
      <c r="Z190" s="8"/>
      <c r="AA190" s="8"/>
      <c r="AB190" s="9"/>
      <c r="AC190" s="9"/>
      <c r="AD190" s="9"/>
    </row>
    <row r="191" spans="1:30" ht="17" customHeight="1" x14ac:dyDescent="0.35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7"/>
      <c r="P191" s="8"/>
      <c r="Q191" s="7"/>
      <c r="R191" s="7"/>
      <c r="S191" s="7"/>
      <c r="T191" s="8"/>
      <c r="U191" s="7"/>
      <c r="V191" s="7"/>
      <c r="W191" s="8"/>
      <c r="X191" s="8"/>
      <c r="Y191" s="8"/>
      <c r="Z191" s="8"/>
      <c r="AA191" s="8"/>
      <c r="AB191" s="9"/>
      <c r="AC191" s="9"/>
      <c r="AD191" s="9"/>
    </row>
    <row r="192" spans="1:30" ht="17" customHeight="1" x14ac:dyDescent="0.35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7"/>
      <c r="P192" s="8"/>
      <c r="Q192" s="7"/>
      <c r="R192" s="7"/>
      <c r="S192" s="7"/>
      <c r="T192" s="8"/>
      <c r="U192" s="7"/>
      <c r="V192" s="7"/>
      <c r="W192" s="8"/>
      <c r="X192" s="8"/>
      <c r="Y192" s="8"/>
      <c r="Z192" s="8"/>
      <c r="AA192" s="8"/>
      <c r="AB192" s="9"/>
      <c r="AC192" s="9"/>
      <c r="AD192" s="9"/>
    </row>
    <row r="193" spans="1:30" ht="17" customHeight="1" x14ac:dyDescent="0.35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7"/>
      <c r="P193" s="8"/>
      <c r="Q193" s="7"/>
      <c r="R193" s="7"/>
      <c r="S193" s="7"/>
      <c r="T193" s="8"/>
      <c r="U193" s="7"/>
      <c r="V193" s="7"/>
      <c r="W193" s="8"/>
      <c r="X193" s="8"/>
      <c r="Y193" s="8"/>
      <c r="Z193" s="8"/>
      <c r="AA193" s="8"/>
      <c r="AB193" s="9"/>
      <c r="AC193" s="9"/>
      <c r="AD193" s="9"/>
    </row>
    <row r="194" spans="1:30" ht="17" customHeight="1" x14ac:dyDescent="0.35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7"/>
      <c r="P194" s="8"/>
      <c r="Q194" s="7"/>
      <c r="R194" s="7"/>
      <c r="S194" s="7"/>
      <c r="T194" s="8"/>
      <c r="U194" s="7"/>
      <c r="V194" s="7"/>
      <c r="W194" s="8"/>
      <c r="X194" s="8"/>
      <c r="Y194" s="8"/>
      <c r="Z194" s="8"/>
      <c r="AA194" s="8"/>
      <c r="AB194" s="9"/>
      <c r="AC194" s="9"/>
      <c r="AD194" s="9"/>
    </row>
    <row r="195" spans="1:30" ht="17" customHeight="1" x14ac:dyDescent="0.35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7"/>
      <c r="P195" s="8"/>
      <c r="Q195" s="7"/>
      <c r="R195" s="7"/>
      <c r="S195" s="7"/>
      <c r="T195" s="8"/>
      <c r="U195" s="7"/>
      <c r="V195" s="7"/>
      <c r="W195" s="8"/>
      <c r="X195" s="8"/>
      <c r="Y195" s="8"/>
      <c r="Z195" s="8"/>
      <c r="AA195" s="8"/>
      <c r="AB195" s="9"/>
      <c r="AC195" s="9"/>
      <c r="AD195" s="9"/>
    </row>
    <row r="196" spans="1:30" ht="17" customHeight="1" x14ac:dyDescent="0.35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7"/>
      <c r="P196" s="8"/>
      <c r="Q196" s="7"/>
      <c r="R196" s="7"/>
      <c r="S196" s="7"/>
      <c r="T196" s="8"/>
      <c r="U196" s="7"/>
      <c r="V196" s="7"/>
      <c r="W196" s="8"/>
      <c r="X196" s="8"/>
      <c r="Y196" s="8"/>
      <c r="Z196" s="8"/>
      <c r="AA196" s="8"/>
      <c r="AB196" s="9"/>
      <c r="AC196" s="9"/>
      <c r="AD196" s="9"/>
    </row>
    <row r="197" spans="1:30" ht="17" customHeight="1" x14ac:dyDescent="0.35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7"/>
      <c r="P197" s="8"/>
      <c r="Q197" s="7"/>
      <c r="R197" s="7"/>
      <c r="S197" s="7"/>
      <c r="T197" s="8"/>
      <c r="U197" s="7"/>
      <c r="V197" s="7"/>
      <c r="W197" s="8"/>
      <c r="X197" s="8"/>
      <c r="Y197" s="8"/>
      <c r="Z197" s="8"/>
      <c r="AA197" s="8"/>
      <c r="AB197" s="9"/>
      <c r="AC197" s="9"/>
      <c r="AD197" s="9"/>
    </row>
    <row r="198" spans="1:30" ht="17" customHeight="1" x14ac:dyDescent="0.35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7"/>
      <c r="P198" s="8"/>
      <c r="Q198" s="7"/>
      <c r="R198" s="7"/>
      <c r="S198" s="7"/>
      <c r="T198" s="8"/>
      <c r="U198" s="7"/>
      <c r="V198" s="7"/>
      <c r="W198" s="8"/>
      <c r="X198" s="8"/>
      <c r="Y198" s="8"/>
      <c r="Z198" s="8"/>
      <c r="AA198" s="8"/>
      <c r="AB198" s="9"/>
      <c r="AC198" s="9"/>
      <c r="AD198" s="9"/>
    </row>
    <row r="199" spans="1:30" ht="17" customHeight="1" x14ac:dyDescent="0.35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7"/>
      <c r="P199" s="8"/>
      <c r="Q199" s="7"/>
      <c r="R199" s="7"/>
      <c r="S199" s="7"/>
      <c r="T199" s="8"/>
      <c r="U199" s="7"/>
      <c r="V199" s="7"/>
      <c r="W199" s="8"/>
      <c r="X199" s="8"/>
      <c r="Y199" s="8"/>
      <c r="Z199" s="8"/>
      <c r="AA199" s="8"/>
      <c r="AB199" s="9"/>
      <c r="AC199" s="9"/>
      <c r="AD199" s="9"/>
    </row>
    <row r="200" spans="1:30" ht="17" customHeight="1" x14ac:dyDescent="0.35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7"/>
      <c r="P200" s="8"/>
      <c r="Q200" s="7"/>
      <c r="R200" s="7"/>
      <c r="S200" s="7"/>
      <c r="T200" s="8"/>
      <c r="U200" s="7"/>
      <c r="V200" s="7"/>
      <c r="W200" s="8"/>
      <c r="X200" s="8"/>
      <c r="Y200" s="8"/>
      <c r="Z200" s="8"/>
      <c r="AA200" s="8"/>
      <c r="AB200" s="9"/>
      <c r="AC200" s="9"/>
      <c r="AD200" s="9"/>
    </row>
    <row r="201" spans="1:30" ht="17" customHeight="1" x14ac:dyDescent="0.35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7"/>
      <c r="P201" s="8"/>
      <c r="Q201" s="7"/>
      <c r="R201" s="7"/>
      <c r="S201" s="7"/>
      <c r="T201" s="8"/>
      <c r="U201" s="7"/>
      <c r="V201" s="7"/>
      <c r="W201" s="8"/>
      <c r="X201" s="8"/>
      <c r="Y201" s="8"/>
      <c r="Z201" s="8"/>
      <c r="AA201" s="8"/>
      <c r="AB201" s="9"/>
      <c r="AC201" s="9"/>
      <c r="AD201" s="9"/>
    </row>
    <row r="202" spans="1:30" ht="17" customHeight="1" x14ac:dyDescent="0.35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7"/>
      <c r="P202" s="8"/>
      <c r="Q202" s="7"/>
      <c r="R202" s="7"/>
      <c r="S202" s="7"/>
      <c r="T202" s="8"/>
      <c r="U202" s="7"/>
      <c r="V202" s="7"/>
      <c r="W202" s="8"/>
      <c r="X202" s="8"/>
      <c r="Y202" s="8"/>
      <c r="Z202" s="8"/>
      <c r="AA202" s="8"/>
      <c r="AB202" s="9"/>
      <c r="AC202" s="9"/>
      <c r="AD202" s="9"/>
    </row>
    <row r="203" spans="1:30" ht="17" customHeight="1" x14ac:dyDescent="0.35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7"/>
      <c r="P203" s="8"/>
      <c r="Q203" s="7"/>
      <c r="R203" s="7"/>
      <c r="S203" s="7"/>
      <c r="T203" s="8"/>
      <c r="U203" s="7"/>
      <c r="V203" s="7"/>
      <c r="W203" s="8"/>
      <c r="X203" s="8"/>
      <c r="Y203" s="8"/>
      <c r="Z203" s="8"/>
      <c r="AA203" s="8"/>
      <c r="AB203" s="9"/>
      <c r="AC203" s="9"/>
      <c r="AD203" s="9"/>
    </row>
    <row r="204" spans="1:30" ht="17" customHeight="1" x14ac:dyDescent="0.35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7"/>
      <c r="P204" s="8"/>
      <c r="Q204" s="7"/>
      <c r="R204" s="7"/>
      <c r="S204" s="7"/>
      <c r="T204" s="8"/>
      <c r="U204" s="7"/>
      <c r="V204" s="7"/>
      <c r="W204" s="8"/>
      <c r="X204" s="8"/>
      <c r="Y204" s="8"/>
      <c r="Z204" s="8"/>
      <c r="AA204" s="8"/>
      <c r="AB204" s="9"/>
      <c r="AC204" s="9"/>
      <c r="AD204" s="9"/>
    </row>
    <row r="205" spans="1:30" ht="17" customHeight="1" x14ac:dyDescent="0.35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7"/>
      <c r="P205" s="8"/>
      <c r="Q205" s="7"/>
      <c r="R205" s="7"/>
      <c r="S205" s="7"/>
      <c r="T205" s="8"/>
      <c r="U205" s="7"/>
      <c r="V205" s="7"/>
      <c r="W205" s="8"/>
      <c r="X205" s="8"/>
      <c r="Y205" s="8"/>
      <c r="Z205" s="8"/>
      <c r="AA205" s="8"/>
      <c r="AB205" s="9"/>
      <c r="AC205" s="9"/>
      <c r="AD205" s="9"/>
    </row>
    <row r="207" spans="1:30" x14ac:dyDescent="0.35">
      <c r="A207" s="24" t="s">
        <v>160</v>
      </c>
      <c r="B207" s="25"/>
      <c r="C207" s="25"/>
      <c r="D207" s="25"/>
      <c r="E207" s="25"/>
      <c r="F207" s="25"/>
      <c r="G207" s="25"/>
    </row>
  </sheetData>
  <mergeCells count="6">
    <mergeCell ref="A207:G207"/>
    <mergeCell ref="AB2:AD2"/>
    <mergeCell ref="A2:B2"/>
    <mergeCell ref="C2:H2"/>
    <mergeCell ref="Q2:AA2"/>
    <mergeCell ref="I2:P2"/>
  </mergeCells>
  <dataValidations count="6">
    <dataValidation type="list" allowBlank="1" showErrorMessage="1" errorTitle="Invalid value" error="Select from list" sqref="H6:H205" xr:uid="{00000000-0002-0000-0100-000000000000}">
      <formula1>"partner,donor,surgical"</formula1>
    </dataValidation>
    <dataValidation type="list" allowBlank="1" showErrorMessage="1" errorTitle="Invalid value" error="Select from list" sqref="I6:I205" xr:uid="{00000000-0002-0000-0100-000001000000}">
      <formula1>"normal,PCOS,DOR,MFI,unexplained,other"</formula1>
    </dataValidation>
    <dataValidation type="list" allowBlank="1" showErrorMessage="1" errorTitle="Invalid value" error="Select from list" sqref="J6:J205" xr:uid="{00000000-0002-0000-0100-000002000000}">
      <formula1>"long_agonist,short_agonist,antagonist,mini,other"</formula1>
    </dataValidation>
    <dataValidation type="list" allowBlank="1" showErrorMessage="1" errorTitle="Invalid value" error="Select from list" sqref="L6:L205 AD6:AD205 AA6:AA205" xr:uid="{00000000-0002-0000-0100-000003000000}">
      <formula1>"0,1"</formula1>
    </dataValidation>
    <dataValidation type="list" allowBlank="1" showErrorMessage="1" errorTitle="Invalid value" error="Select from list" sqref="AB6:AB205" xr:uid="{00000000-0002-0000-0100-000006000000}">
      <formula1>"no_transfer,biochemical,clinical,ongoing,delivery,miscarriage,unknown"</formula1>
    </dataValidation>
    <dataValidation type="list" allowBlank="1" showErrorMessage="1" errorTitle="Invalid value" error="Select from list" sqref="Z6:Z205" xr:uid="{00000000-0002-0000-0100-000007000000}">
      <formula1>"0,1,2,3"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6"/>
  <sheetViews>
    <sheetView showGridLines="0" topLeftCell="A43" workbookViewId="0">
      <selection activeCell="C55" sqref="C55:D55"/>
    </sheetView>
  </sheetViews>
  <sheetFormatPr defaultRowHeight="14.5" x14ac:dyDescent="0.35"/>
  <cols>
    <col min="1" max="1" width="3" customWidth="1"/>
    <col min="2" max="2" width="20" customWidth="1"/>
    <col min="3" max="3" width="8" customWidth="1"/>
    <col min="4" max="4" width="36" customWidth="1"/>
    <col min="5" max="5" width="29.7265625" customWidth="1"/>
    <col min="6" max="6" width="14" customWidth="1"/>
  </cols>
  <sheetData>
    <row r="1" spans="2:6" ht="26" customHeight="1" x14ac:dyDescent="0.35">
      <c r="B1" s="41" t="s">
        <v>161</v>
      </c>
      <c r="C1" s="25"/>
      <c r="D1" s="25"/>
      <c r="E1" s="25"/>
      <c r="F1" s="25"/>
    </row>
    <row r="2" spans="2:6" ht="18" customHeight="1" x14ac:dyDescent="0.35">
      <c r="B2" s="40" t="s">
        <v>162</v>
      </c>
      <c r="C2" s="25"/>
      <c r="D2" s="25"/>
      <c r="E2" s="25"/>
      <c r="F2" s="25"/>
    </row>
    <row r="3" spans="2:6" ht="18" customHeight="1" x14ac:dyDescent="0.35">
      <c r="B3" s="40" t="s">
        <v>163</v>
      </c>
      <c r="C3" s="25"/>
      <c r="D3" s="25"/>
      <c r="E3" s="25"/>
      <c r="F3" s="25"/>
    </row>
    <row r="4" spans="2:6" ht="22" customHeight="1" x14ac:dyDescent="0.35">
      <c r="B4" s="10" t="s">
        <v>164</v>
      </c>
      <c r="C4" s="10" t="s">
        <v>165</v>
      </c>
      <c r="D4" s="10" t="s">
        <v>166</v>
      </c>
      <c r="E4" s="10" t="s">
        <v>167</v>
      </c>
      <c r="F4" s="10" t="s">
        <v>168</v>
      </c>
    </row>
    <row r="5" spans="2:6" ht="20" customHeight="1" x14ac:dyDescent="0.35">
      <c r="B5" s="43" t="s">
        <v>169</v>
      </c>
      <c r="C5" s="25"/>
      <c r="D5" s="25"/>
      <c r="E5" s="25"/>
      <c r="F5" s="25"/>
    </row>
    <row r="6" spans="2:6" ht="28" customHeight="1" x14ac:dyDescent="0.35">
      <c r="B6" s="11" t="s">
        <v>0</v>
      </c>
      <c r="C6" s="12" t="s">
        <v>170</v>
      </c>
      <c r="D6" s="13" t="s">
        <v>171</v>
      </c>
      <c r="E6" s="13" t="s">
        <v>172</v>
      </c>
      <c r="F6" s="13" t="s">
        <v>173</v>
      </c>
    </row>
    <row r="7" spans="2:6" ht="28" customHeight="1" x14ac:dyDescent="0.35">
      <c r="B7" s="11" t="s">
        <v>1</v>
      </c>
      <c r="C7" s="12" t="s">
        <v>170</v>
      </c>
      <c r="D7" s="13" t="s">
        <v>174</v>
      </c>
      <c r="E7" s="13" t="s">
        <v>175</v>
      </c>
      <c r="F7" s="13" t="s">
        <v>173</v>
      </c>
    </row>
    <row r="8" spans="2:6" ht="20" customHeight="1" x14ac:dyDescent="0.35">
      <c r="B8" s="38" t="s">
        <v>176</v>
      </c>
      <c r="C8" s="25"/>
      <c r="D8" s="25"/>
      <c r="E8" s="25"/>
      <c r="F8" s="25"/>
    </row>
    <row r="9" spans="2:6" ht="28" customHeight="1" x14ac:dyDescent="0.35">
      <c r="B9" s="11" t="s">
        <v>2</v>
      </c>
      <c r="C9" s="12" t="s">
        <v>170</v>
      </c>
      <c r="D9" s="13" t="s">
        <v>177</v>
      </c>
      <c r="E9" s="13" t="s">
        <v>178</v>
      </c>
      <c r="F9" s="13" t="s">
        <v>67</v>
      </c>
    </row>
    <row r="10" spans="2:6" ht="28" customHeight="1" x14ac:dyDescent="0.35">
      <c r="B10" s="11" t="s">
        <v>3</v>
      </c>
      <c r="C10" s="12" t="s">
        <v>170</v>
      </c>
      <c r="D10" s="13" t="s">
        <v>179</v>
      </c>
      <c r="E10" s="13" t="s">
        <v>180</v>
      </c>
      <c r="F10" s="13" t="s">
        <v>181</v>
      </c>
    </row>
    <row r="11" spans="2:6" ht="28" customHeight="1" x14ac:dyDescent="0.35">
      <c r="B11" s="11" t="s">
        <v>4</v>
      </c>
      <c r="C11" s="12" t="s">
        <v>170</v>
      </c>
      <c r="D11" s="13" t="s">
        <v>182</v>
      </c>
      <c r="E11" s="13" t="s">
        <v>183</v>
      </c>
      <c r="F11" s="13" t="s">
        <v>184</v>
      </c>
    </row>
    <row r="12" spans="2:6" ht="28" customHeight="1" x14ac:dyDescent="0.35">
      <c r="B12" s="11" t="s">
        <v>5</v>
      </c>
      <c r="C12" s="12" t="s">
        <v>170</v>
      </c>
      <c r="D12" s="13" t="s">
        <v>185</v>
      </c>
      <c r="E12" s="13" t="s">
        <v>186</v>
      </c>
      <c r="F12" s="13" t="s">
        <v>70</v>
      </c>
    </row>
    <row r="13" spans="2:6" ht="28" customHeight="1" x14ac:dyDescent="0.35">
      <c r="B13" s="11" t="s">
        <v>6</v>
      </c>
      <c r="C13" s="12" t="s">
        <v>170</v>
      </c>
      <c r="D13" s="13" t="s">
        <v>187</v>
      </c>
      <c r="E13" s="13" t="s">
        <v>188</v>
      </c>
      <c r="F13" s="13" t="s">
        <v>189</v>
      </c>
    </row>
    <row r="14" spans="2:6" ht="28" customHeight="1" x14ac:dyDescent="0.35">
      <c r="B14" s="11" t="s">
        <v>7</v>
      </c>
      <c r="C14" s="12" t="s">
        <v>170</v>
      </c>
      <c r="D14" s="13" t="s">
        <v>42</v>
      </c>
      <c r="E14" s="13" t="s">
        <v>116</v>
      </c>
      <c r="F14" s="13" t="s">
        <v>72</v>
      </c>
    </row>
    <row r="15" spans="2:6" ht="39.5" customHeight="1" x14ac:dyDescent="0.35">
      <c r="B15" s="14" t="s">
        <v>8</v>
      </c>
      <c r="C15" s="15" t="s">
        <v>190</v>
      </c>
      <c r="D15" s="16" t="s">
        <v>191</v>
      </c>
      <c r="E15" s="16" t="s">
        <v>192</v>
      </c>
      <c r="F15" s="16" t="s">
        <v>73</v>
      </c>
    </row>
    <row r="16" spans="2:6" ht="20" customHeight="1" x14ac:dyDescent="0.35">
      <c r="B16" s="45" t="s">
        <v>193</v>
      </c>
      <c r="C16" s="25"/>
      <c r="D16" s="25"/>
      <c r="E16" s="25"/>
      <c r="F16" s="25"/>
    </row>
    <row r="17" spans="2:6" ht="42" customHeight="1" x14ac:dyDescent="0.35">
      <c r="B17" s="14" t="s">
        <v>9</v>
      </c>
      <c r="C17" s="15" t="s">
        <v>190</v>
      </c>
      <c r="D17" s="16" t="s">
        <v>194</v>
      </c>
      <c r="E17" s="16" t="s">
        <v>195</v>
      </c>
      <c r="F17" s="16" t="s">
        <v>196</v>
      </c>
    </row>
    <row r="18" spans="2:6" ht="28" customHeight="1" x14ac:dyDescent="0.35">
      <c r="B18" s="14" t="s">
        <v>10</v>
      </c>
      <c r="C18" s="15" t="s">
        <v>190</v>
      </c>
      <c r="D18" s="16" t="s">
        <v>197</v>
      </c>
      <c r="E18" s="16" t="s">
        <v>198</v>
      </c>
      <c r="F18" s="16" t="s">
        <v>75</v>
      </c>
    </row>
    <row r="19" spans="2:6" ht="28" customHeight="1" x14ac:dyDescent="0.35">
      <c r="B19" s="14" t="s">
        <v>11</v>
      </c>
      <c r="C19" s="15" t="s">
        <v>190</v>
      </c>
      <c r="D19" s="16" t="s">
        <v>199</v>
      </c>
      <c r="E19" s="16" t="s">
        <v>200</v>
      </c>
      <c r="F19" s="16" t="s">
        <v>201</v>
      </c>
    </row>
    <row r="20" spans="2:6" ht="28" customHeight="1" x14ac:dyDescent="0.35">
      <c r="B20" s="14" t="s">
        <v>12</v>
      </c>
      <c r="C20" s="15" t="s">
        <v>190</v>
      </c>
      <c r="D20" s="16" t="s">
        <v>202</v>
      </c>
      <c r="E20" s="16" t="s">
        <v>203</v>
      </c>
      <c r="F20" s="16" t="s">
        <v>204</v>
      </c>
    </row>
    <row r="21" spans="2:6" ht="28" customHeight="1" x14ac:dyDescent="0.35">
      <c r="B21" s="14" t="s">
        <v>13</v>
      </c>
      <c r="C21" s="15" t="s">
        <v>190</v>
      </c>
      <c r="D21" s="16" t="s">
        <v>205</v>
      </c>
      <c r="E21" s="16" t="s">
        <v>206</v>
      </c>
      <c r="F21" s="16" t="s">
        <v>78</v>
      </c>
    </row>
    <row r="22" spans="2:6" ht="28" customHeight="1" x14ac:dyDescent="0.35">
      <c r="B22" s="11" t="s">
        <v>14</v>
      </c>
      <c r="C22" s="12" t="s">
        <v>170</v>
      </c>
      <c r="D22" s="13" t="s">
        <v>207</v>
      </c>
      <c r="E22" s="13" t="s">
        <v>208</v>
      </c>
      <c r="F22" s="13" t="s">
        <v>209</v>
      </c>
    </row>
    <row r="23" spans="2:6" ht="28" customHeight="1" x14ac:dyDescent="0.35">
      <c r="B23" s="14" t="s">
        <v>15</v>
      </c>
      <c r="C23" s="15" t="s">
        <v>190</v>
      </c>
      <c r="D23" s="16" t="s">
        <v>210</v>
      </c>
      <c r="E23" s="16" t="s">
        <v>211</v>
      </c>
      <c r="F23" s="16" t="s">
        <v>212</v>
      </c>
    </row>
    <row r="24" spans="2:6" ht="20" customHeight="1" x14ac:dyDescent="0.35">
      <c r="B24" s="42" t="s">
        <v>213</v>
      </c>
      <c r="C24" s="25"/>
      <c r="D24" s="25"/>
      <c r="E24" s="25"/>
      <c r="F24" s="25"/>
    </row>
    <row r="25" spans="2:6" ht="28" customHeight="1" x14ac:dyDescent="0.35">
      <c r="B25" s="11" t="s">
        <v>16</v>
      </c>
      <c r="C25" s="12" t="s">
        <v>170</v>
      </c>
      <c r="D25" s="13" t="s">
        <v>214</v>
      </c>
      <c r="E25" s="13" t="s">
        <v>215</v>
      </c>
      <c r="F25" s="13" t="s">
        <v>216</v>
      </c>
    </row>
    <row r="26" spans="2:6" ht="28" customHeight="1" x14ac:dyDescent="0.35">
      <c r="B26" s="11" t="s">
        <v>17</v>
      </c>
      <c r="C26" s="12" t="s">
        <v>170</v>
      </c>
      <c r="D26" s="13" t="s">
        <v>217</v>
      </c>
      <c r="E26" s="13" t="s">
        <v>218</v>
      </c>
      <c r="F26" s="13" t="s">
        <v>216</v>
      </c>
    </row>
    <row r="27" spans="2:6" ht="28" customHeight="1" x14ac:dyDescent="0.35">
      <c r="B27" s="11" t="s">
        <v>18</v>
      </c>
      <c r="C27" s="12" t="s">
        <v>170</v>
      </c>
      <c r="D27" s="13" t="s">
        <v>219</v>
      </c>
      <c r="E27" s="13" t="s">
        <v>220</v>
      </c>
      <c r="F27" s="13" t="s">
        <v>216</v>
      </c>
    </row>
    <row r="28" spans="2:6" ht="28" customHeight="1" x14ac:dyDescent="0.35">
      <c r="B28" s="14" t="s">
        <v>19</v>
      </c>
      <c r="C28" s="15" t="s">
        <v>190</v>
      </c>
      <c r="D28" s="16" t="s">
        <v>221</v>
      </c>
      <c r="E28" s="16" t="s">
        <v>222</v>
      </c>
      <c r="F28" s="16" t="s">
        <v>216</v>
      </c>
    </row>
    <row r="29" spans="2:6" ht="28" customHeight="1" x14ac:dyDescent="0.35">
      <c r="B29" s="11" t="s">
        <v>20</v>
      </c>
      <c r="C29" s="12" t="s">
        <v>170</v>
      </c>
      <c r="D29" s="13" t="s">
        <v>223</v>
      </c>
      <c r="E29" s="13" t="s">
        <v>224</v>
      </c>
      <c r="F29" s="13" t="s">
        <v>225</v>
      </c>
    </row>
    <row r="30" spans="2:6" ht="28" customHeight="1" x14ac:dyDescent="0.35">
      <c r="B30" s="11" t="s">
        <v>21</v>
      </c>
      <c r="C30" s="12" t="s">
        <v>170</v>
      </c>
      <c r="D30" s="13" t="s">
        <v>226</v>
      </c>
      <c r="E30" s="13" t="s">
        <v>227</v>
      </c>
      <c r="F30" s="13" t="s">
        <v>225</v>
      </c>
    </row>
    <row r="31" spans="2:6" ht="28" customHeight="1" x14ac:dyDescent="0.35">
      <c r="B31" s="14" t="s">
        <v>22</v>
      </c>
      <c r="C31" s="15" t="s">
        <v>190</v>
      </c>
      <c r="D31" s="16" t="s">
        <v>228</v>
      </c>
      <c r="E31" s="16" t="s">
        <v>229</v>
      </c>
      <c r="F31" s="16" t="s">
        <v>225</v>
      </c>
    </row>
    <row r="32" spans="2:6" ht="28" customHeight="1" x14ac:dyDescent="0.35">
      <c r="B32" s="14" t="s">
        <v>23</v>
      </c>
      <c r="C32" s="15" t="s">
        <v>190</v>
      </c>
      <c r="D32" s="16" t="s">
        <v>230</v>
      </c>
      <c r="E32" s="16" t="s">
        <v>231</v>
      </c>
      <c r="F32" s="16" t="s">
        <v>232</v>
      </c>
    </row>
    <row r="33" spans="2:6" ht="28" customHeight="1" x14ac:dyDescent="0.35">
      <c r="B33" s="14" t="s">
        <v>24</v>
      </c>
      <c r="C33" s="15" t="s">
        <v>190</v>
      </c>
      <c r="D33" s="16" t="s">
        <v>233</v>
      </c>
      <c r="E33" s="16" t="s">
        <v>234</v>
      </c>
      <c r="F33" s="16" t="s">
        <v>235</v>
      </c>
    </row>
    <row r="34" spans="2:6" ht="28" customHeight="1" x14ac:dyDescent="0.35">
      <c r="B34" s="14" t="s">
        <v>25</v>
      </c>
      <c r="C34" s="15" t="s">
        <v>190</v>
      </c>
      <c r="D34" s="16" t="s">
        <v>236</v>
      </c>
      <c r="E34" s="16" t="s">
        <v>134</v>
      </c>
      <c r="F34" s="16" t="s">
        <v>237</v>
      </c>
    </row>
    <row r="35" spans="2:6" ht="28" customHeight="1" x14ac:dyDescent="0.35">
      <c r="B35" s="14" t="s">
        <v>26</v>
      </c>
      <c r="C35" s="15" t="s">
        <v>190</v>
      </c>
      <c r="D35" s="16" t="s">
        <v>238</v>
      </c>
      <c r="E35" s="16" t="s">
        <v>239</v>
      </c>
      <c r="F35" s="16" t="s">
        <v>240</v>
      </c>
    </row>
    <row r="36" spans="2:6" ht="20" customHeight="1" x14ac:dyDescent="0.35">
      <c r="B36" s="44" t="s">
        <v>241</v>
      </c>
      <c r="C36" s="25"/>
      <c r="D36" s="25"/>
      <c r="E36" s="25"/>
      <c r="F36" s="25"/>
    </row>
    <row r="37" spans="2:6" ht="79" customHeight="1" x14ac:dyDescent="0.35">
      <c r="B37" s="17" t="s">
        <v>27</v>
      </c>
      <c r="C37" s="18" t="s">
        <v>62</v>
      </c>
      <c r="D37" s="19" t="s">
        <v>242</v>
      </c>
      <c r="E37" s="19" t="s">
        <v>243</v>
      </c>
      <c r="F37" s="19" t="s">
        <v>244</v>
      </c>
    </row>
    <row r="38" spans="2:6" ht="28" customHeight="1" x14ac:dyDescent="0.35">
      <c r="B38" s="17" t="s">
        <v>28</v>
      </c>
      <c r="C38" s="18" t="s">
        <v>62</v>
      </c>
      <c r="D38" s="19" t="s">
        <v>245</v>
      </c>
      <c r="E38" s="19" t="s">
        <v>246</v>
      </c>
      <c r="F38" s="19" t="s">
        <v>93</v>
      </c>
    </row>
    <row r="39" spans="2:6" ht="28" customHeight="1" x14ac:dyDescent="0.35">
      <c r="B39" s="17" t="s">
        <v>29</v>
      </c>
      <c r="C39" s="18" t="s">
        <v>62</v>
      </c>
      <c r="D39" s="19" t="s">
        <v>247</v>
      </c>
      <c r="E39" s="19" t="s">
        <v>248</v>
      </c>
      <c r="F39" s="19" t="s">
        <v>201</v>
      </c>
    </row>
    <row r="40" spans="2:6" ht="10" customHeight="1" x14ac:dyDescent="0.35"/>
    <row r="41" spans="2:6" ht="20" customHeight="1" x14ac:dyDescent="0.35">
      <c r="B41" s="43" t="s">
        <v>249</v>
      </c>
      <c r="C41" s="25"/>
      <c r="D41" s="25"/>
      <c r="E41" s="25"/>
      <c r="F41" s="25"/>
    </row>
    <row r="42" spans="2:6" ht="20" customHeight="1" x14ac:dyDescent="0.35">
      <c r="B42" s="20" t="s">
        <v>250</v>
      </c>
      <c r="C42" s="33" t="s">
        <v>251</v>
      </c>
      <c r="D42" s="32"/>
      <c r="E42" s="39" t="s">
        <v>252</v>
      </c>
      <c r="F42" s="32"/>
    </row>
    <row r="43" spans="2:6" ht="20" customHeight="1" x14ac:dyDescent="0.35">
      <c r="B43" s="20" t="s">
        <v>253</v>
      </c>
      <c r="C43" s="33" t="s">
        <v>254</v>
      </c>
      <c r="D43" s="32"/>
      <c r="E43" s="39" t="s">
        <v>255</v>
      </c>
      <c r="F43" s="32"/>
    </row>
    <row r="44" spans="2:6" ht="20" customHeight="1" x14ac:dyDescent="0.35">
      <c r="B44" s="21" t="s">
        <v>101</v>
      </c>
      <c r="C44" s="34" t="s">
        <v>256</v>
      </c>
      <c r="D44" s="32"/>
      <c r="E44" s="35" t="s">
        <v>257</v>
      </c>
      <c r="F44" s="32"/>
    </row>
    <row r="45" spans="2:6" ht="20" customHeight="1" x14ac:dyDescent="0.35">
      <c r="B45" s="21" t="s">
        <v>258</v>
      </c>
      <c r="C45" s="34" t="s">
        <v>259</v>
      </c>
      <c r="D45" s="32"/>
      <c r="E45" s="35" t="s">
        <v>260</v>
      </c>
      <c r="F45" s="32"/>
    </row>
    <row r="46" spans="2:6" ht="20" customHeight="1" x14ac:dyDescent="0.35">
      <c r="B46" s="21" t="s">
        <v>261</v>
      </c>
      <c r="C46" s="34" t="s">
        <v>262</v>
      </c>
      <c r="D46" s="32"/>
      <c r="E46" s="35" t="s">
        <v>263</v>
      </c>
      <c r="F46" s="32"/>
    </row>
    <row r="47" spans="2:6" ht="20" customHeight="1" x14ac:dyDescent="0.35">
      <c r="B47" s="20" t="s">
        <v>264</v>
      </c>
      <c r="C47" s="33" t="s">
        <v>265</v>
      </c>
      <c r="D47" s="32"/>
      <c r="E47" s="39" t="s">
        <v>266</v>
      </c>
      <c r="F47" s="32"/>
    </row>
    <row r="48" spans="2:6" ht="20" customHeight="1" x14ac:dyDescent="0.35">
      <c r="B48" s="22" t="s">
        <v>267</v>
      </c>
      <c r="C48" s="36" t="s">
        <v>268</v>
      </c>
      <c r="D48" s="32"/>
      <c r="E48" s="46" t="s">
        <v>269</v>
      </c>
      <c r="F48" s="32"/>
    </row>
    <row r="49" spans="2:6" ht="10" customHeight="1" x14ac:dyDescent="0.35"/>
    <row r="50" spans="2:6" ht="20" customHeight="1" x14ac:dyDescent="0.35">
      <c r="B50" s="38" t="s">
        <v>270</v>
      </c>
      <c r="C50" s="25"/>
      <c r="D50" s="25"/>
      <c r="E50" s="25"/>
      <c r="F50" s="25"/>
    </row>
    <row r="51" spans="2:6" ht="20" customHeight="1" x14ac:dyDescent="0.35">
      <c r="B51" s="23" t="s">
        <v>271</v>
      </c>
      <c r="C51" s="31" t="e">
        <f>PN2 / mii</f>
        <v>#NAME?</v>
      </c>
      <c r="D51" s="32"/>
      <c r="E51" s="37" t="s">
        <v>272</v>
      </c>
      <c r="F51" s="32"/>
    </row>
    <row r="52" spans="2:6" ht="20" customHeight="1" x14ac:dyDescent="0.35">
      <c r="B52" s="23" t="s">
        <v>273</v>
      </c>
      <c r="C52" s="31" t="e">
        <f>cleavage_d3 / PN2</f>
        <v>#NAME?</v>
      </c>
      <c r="D52" s="32"/>
      <c r="E52" s="37" t="s">
        <v>274</v>
      </c>
      <c r="F52" s="32"/>
    </row>
    <row r="53" spans="2:6" ht="20" customHeight="1" x14ac:dyDescent="0.35">
      <c r="B53" s="23" t="s">
        <v>275</v>
      </c>
      <c r="C53" s="31" t="e">
        <f>blasts_total / PN2</f>
        <v>#NAME?</v>
      </c>
      <c r="D53" s="32"/>
      <c r="E53" s="37" t="s">
        <v>276</v>
      </c>
      <c r="F53" s="32"/>
    </row>
    <row r="54" spans="2:6" ht="20" customHeight="1" x14ac:dyDescent="0.35">
      <c r="B54" s="23" t="s">
        <v>277</v>
      </c>
      <c r="C54" s="31" t="e">
        <f>blasts_good / MAX(PN2, 1)</f>
        <v>#NAME?</v>
      </c>
      <c r="D54" s="32"/>
      <c r="E54" s="37" t="s">
        <v>278</v>
      </c>
      <c r="F54" s="32"/>
    </row>
    <row r="55" spans="2:6" ht="20" customHeight="1" x14ac:dyDescent="0.35">
      <c r="B55" s="23" t="s">
        <v>279</v>
      </c>
      <c r="C55" s="31" t="e">
        <f>okk / follicles_14mm</f>
        <v>#NAME?</v>
      </c>
      <c r="D55" s="32"/>
      <c r="E55" s="37" t="s">
        <v>280</v>
      </c>
      <c r="F55" s="32"/>
    </row>
    <row r="56" spans="2:6" ht="20" customHeight="1" x14ac:dyDescent="0.35">
      <c r="B56" s="23" t="s">
        <v>281</v>
      </c>
      <c r="C56" s="31" t="s">
        <v>282</v>
      </c>
      <c r="D56" s="32"/>
      <c r="E56" s="37" t="s">
        <v>283</v>
      </c>
      <c r="F56" s="32"/>
    </row>
  </sheetData>
  <mergeCells count="36">
    <mergeCell ref="E44:F44"/>
    <mergeCell ref="E51:F51"/>
    <mergeCell ref="C47:D47"/>
    <mergeCell ref="C54:D54"/>
    <mergeCell ref="B2:F2"/>
    <mergeCell ref="C55:D55"/>
    <mergeCell ref="C44:D44"/>
    <mergeCell ref="B1:F1"/>
    <mergeCell ref="B8:F8"/>
    <mergeCell ref="B24:F24"/>
    <mergeCell ref="B5:F5"/>
    <mergeCell ref="B36:F36"/>
    <mergeCell ref="B41:F41"/>
    <mergeCell ref="E43:F43"/>
    <mergeCell ref="B16:F16"/>
    <mergeCell ref="E55:F55"/>
    <mergeCell ref="C42:D42"/>
    <mergeCell ref="B3:F3"/>
    <mergeCell ref="E42:F42"/>
    <mergeCell ref="C45:D45"/>
    <mergeCell ref="C56:D56"/>
    <mergeCell ref="C43:D43"/>
    <mergeCell ref="C46:D46"/>
    <mergeCell ref="E46:F46"/>
    <mergeCell ref="C51:D51"/>
    <mergeCell ref="E45:F45"/>
    <mergeCell ref="C52:D52"/>
    <mergeCell ref="C48:D48"/>
    <mergeCell ref="E54:F54"/>
    <mergeCell ref="E53:F53"/>
    <mergeCell ref="C53:D53"/>
    <mergeCell ref="B50:F50"/>
    <mergeCell ref="E56:F56"/>
    <mergeCell ref="E47:F47"/>
    <mergeCell ref="E52:F52"/>
    <mergeCell ref="E48:F48"/>
  </mergeCells>
  <pageMargins left="0.75" right="0.75" top="1" bottom="1" header="0.5" footer="0.5"/>
  <ignoredErrors>
    <ignoredError sqref="C51:C5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Data (English)</vt:lpstr>
      <vt:lpstr>Инструкции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Serdj Sergeev</cp:lastModifiedBy>
  <dcterms:created xsi:type="dcterms:W3CDTF">2026-06-02T19:09:06Z</dcterms:created>
  <dcterms:modified xsi:type="dcterms:W3CDTF">2026-06-02T19:34:26Z</dcterms:modified>
</cp:coreProperties>
</file>